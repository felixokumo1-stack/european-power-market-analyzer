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X OKUMO\Desktop\Power_Market_Model\"/>
    </mc:Choice>
  </mc:AlternateContent>
  <xr:revisionPtr revIDLastSave="0" documentId="13_ncr:1_{8A270398-60E2-49CA-BCAA-7DDDC2BE4666}" xr6:coauthVersionLast="47" xr6:coauthVersionMax="47" xr10:uidLastSave="{00000000-0000-0000-0000-000000000000}"/>
  <bookViews>
    <workbookView xWindow="-110" yWindow="-110" windowWidth="19420" windowHeight="11020" firstSheet="3" activeTab="5" xr2:uid="{21441439-A9A7-4CC5-B051-0DC340403A7D}"/>
  </bookViews>
  <sheets>
    <sheet name="Plant_Database" sheetId="7" r:id="rId1"/>
    <sheet name="Market_Scenarios" sheetId="9" r:id="rId2"/>
    <sheet name="Input_Parameters" sheetId="1" r:id="rId3"/>
    <sheet name="Data_Entry" sheetId="3" r:id="rId4"/>
    <sheet name="Merit_Order" sheetId="8" r:id="rId5"/>
    <sheet name="Results_Dashboard" sheetId="4" r:id="rId6"/>
  </sheets>
  <definedNames>
    <definedName name="_xlnm._FilterDatabase" localSheetId="3" hidden="1">Data_Entry!$A$1:$S$41</definedName>
    <definedName name="_xlnm._FilterDatabase" localSheetId="1" hidden="1">Market_Scenarios!$A$1:$H$11</definedName>
    <definedName name="_xlnm._FilterDatabase" localSheetId="4" hidden="1">Merit_Order!$A$1:$T$100</definedName>
    <definedName name="ExternalData_1" localSheetId="0" hidden="1">Plant_Database!$A$1:$J$41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4" l="1"/>
  <c r="A20" i="1"/>
  <c r="B8" i="1"/>
  <c r="B7" i="1"/>
  <c r="B17" i="1"/>
  <c r="D33" i="3" s="1"/>
  <c r="E33" i="3" s="1"/>
  <c r="B16" i="1"/>
  <c r="D24" i="3" s="1"/>
  <c r="E24" i="3" s="1"/>
  <c r="B11" i="1"/>
  <c r="H9" i="3" s="1"/>
  <c r="B6" i="1"/>
  <c r="M5" i="8" s="1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D12" i="3"/>
  <c r="E12" i="3" s="1"/>
  <c r="D13" i="3"/>
  <c r="E13" i="3" s="1"/>
  <c r="D14" i="3"/>
  <c r="E14" i="3" s="1"/>
  <c r="D15" i="3"/>
  <c r="E15" i="3" s="1"/>
  <c r="D16" i="3"/>
  <c r="E16" i="3" s="1"/>
  <c r="D17" i="3"/>
  <c r="E17" i="3" s="1"/>
  <c r="D18" i="3"/>
  <c r="E18" i="3" s="1"/>
  <c r="D19" i="3"/>
  <c r="E19" i="3" s="1"/>
  <c r="D20" i="3"/>
  <c r="E20" i="3" s="1"/>
  <c r="D21" i="3"/>
  <c r="D22" i="3"/>
  <c r="E22" i="3" s="1"/>
  <c r="D36" i="3"/>
  <c r="E36" i="3" s="1"/>
  <c r="D37" i="3"/>
  <c r="E37" i="3" s="1"/>
  <c r="D38" i="3"/>
  <c r="E38" i="3" s="1"/>
  <c r="D39" i="3"/>
  <c r="E39" i="3" s="1"/>
  <c r="D40" i="3"/>
  <c r="E40" i="3" s="1"/>
  <c r="D41" i="3"/>
  <c r="E41" i="3" s="1"/>
  <c r="D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2" i="3"/>
  <c r="E21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2" i="3"/>
  <c r="B51" i="4" l="1"/>
  <c r="D35" i="3"/>
  <c r="E35" i="3" s="1"/>
  <c r="D32" i="3"/>
  <c r="E32" i="3" s="1"/>
  <c r="D31" i="3"/>
  <c r="E31" i="3" s="1"/>
  <c r="D34" i="3"/>
  <c r="E34" i="3" s="1"/>
  <c r="D23" i="3"/>
  <c r="E23" i="3" s="1"/>
  <c r="D30" i="3"/>
  <c r="E30" i="3" s="1"/>
  <c r="D29" i="3"/>
  <c r="E29" i="3" s="1"/>
  <c r="D28" i="3"/>
  <c r="E28" i="3" s="1"/>
  <c r="D27" i="3"/>
  <c r="E27" i="3" s="1"/>
  <c r="D26" i="3"/>
  <c r="E26" i="3" s="1"/>
  <c r="D25" i="3"/>
  <c r="E25" i="3" s="1"/>
  <c r="H39" i="3"/>
  <c r="I39" i="3" s="1"/>
  <c r="K39" i="3" s="1"/>
  <c r="H31" i="3"/>
  <c r="I31" i="3" s="1"/>
  <c r="K31" i="3" s="1"/>
  <c r="H23" i="3"/>
  <c r="I23" i="3" s="1"/>
  <c r="K23" i="3" s="1"/>
  <c r="H15" i="3"/>
  <c r="I15" i="3" s="1"/>
  <c r="K15" i="3" s="1"/>
  <c r="H7" i="3"/>
  <c r="I7" i="3" s="1"/>
  <c r="K7" i="3" s="1"/>
  <c r="H24" i="3"/>
  <c r="I24" i="3" s="1"/>
  <c r="K24" i="3" s="1"/>
  <c r="H8" i="3"/>
  <c r="I8" i="3" s="1"/>
  <c r="K8" i="3" s="1"/>
  <c r="H30" i="3"/>
  <c r="I30" i="3" s="1"/>
  <c r="K30" i="3" s="1"/>
  <c r="H14" i="3"/>
  <c r="I14" i="3" s="1"/>
  <c r="K14" i="3" s="1"/>
  <c r="H37" i="3"/>
  <c r="I37" i="3" s="1"/>
  <c r="K37" i="3" s="1"/>
  <c r="H29" i="3"/>
  <c r="I29" i="3" s="1"/>
  <c r="K29" i="3" s="1"/>
  <c r="H21" i="3"/>
  <c r="I21" i="3" s="1"/>
  <c r="K21" i="3" s="1"/>
  <c r="H13" i="3"/>
  <c r="I13" i="3" s="1"/>
  <c r="K13" i="3" s="1"/>
  <c r="H5" i="3"/>
  <c r="I5" i="3" s="1"/>
  <c r="K5" i="3" s="1"/>
  <c r="H32" i="3"/>
  <c r="H16" i="3"/>
  <c r="H38" i="3"/>
  <c r="H22" i="3"/>
  <c r="I22" i="3" s="1"/>
  <c r="K22" i="3" s="1"/>
  <c r="H6" i="3"/>
  <c r="I6" i="3" s="1"/>
  <c r="K6" i="3" s="1"/>
  <c r="H36" i="3"/>
  <c r="I36" i="3" s="1"/>
  <c r="K36" i="3" s="1"/>
  <c r="H28" i="3"/>
  <c r="I28" i="3" s="1"/>
  <c r="K28" i="3" s="1"/>
  <c r="H20" i="3"/>
  <c r="I20" i="3" s="1"/>
  <c r="K20" i="3" s="1"/>
  <c r="H12" i="3"/>
  <c r="H4" i="3"/>
  <c r="I4" i="3" s="1"/>
  <c r="K4" i="3" s="1"/>
  <c r="H35" i="3"/>
  <c r="I35" i="3" s="1"/>
  <c r="K35" i="3" s="1"/>
  <c r="H11" i="3"/>
  <c r="I11" i="3" s="1"/>
  <c r="K11" i="3" s="1"/>
  <c r="H2" i="3"/>
  <c r="I2" i="3" s="1"/>
  <c r="K2" i="3" s="1"/>
  <c r="H34" i="3"/>
  <c r="I34" i="3" s="1"/>
  <c r="K34" i="3" s="1"/>
  <c r="H26" i="3"/>
  <c r="I26" i="3" s="1"/>
  <c r="K26" i="3" s="1"/>
  <c r="H18" i="3"/>
  <c r="I18" i="3" s="1"/>
  <c r="K18" i="3" s="1"/>
  <c r="H10" i="3"/>
  <c r="H40" i="3"/>
  <c r="H27" i="3"/>
  <c r="H19" i="3"/>
  <c r="I19" i="3" s="1"/>
  <c r="K19" i="3" s="1"/>
  <c r="H3" i="3"/>
  <c r="I3" i="3" s="1"/>
  <c r="K3" i="3" s="1"/>
  <c r="H41" i="3"/>
  <c r="I41" i="3" s="1"/>
  <c r="K41" i="3" s="1"/>
  <c r="H33" i="3"/>
  <c r="I33" i="3" s="1"/>
  <c r="K33" i="3" s="1"/>
  <c r="H25" i="3"/>
  <c r="I25" i="3" s="1"/>
  <c r="K25" i="3" s="1"/>
  <c r="H17" i="3"/>
  <c r="I17" i="3" s="1"/>
  <c r="K17" i="3" s="1"/>
  <c r="M36" i="3"/>
  <c r="M12" i="3"/>
  <c r="M12" i="8"/>
  <c r="M11" i="3"/>
  <c r="M3" i="8"/>
  <c r="M18" i="3"/>
  <c r="M10" i="8"/>
  <c r="M41" i="3"/>
  <c r="M33" i="3"/>
  <c r="M25" i="3"/>
  <c r="M17" i="3"/>
  <c r="M9" i="3"/>
  <c r="M41" i="8"/>
  <c r="M33" i="8"/>
  <c r="M25" i="8"/>
  <c r="M17" i="8"/>
  <c r="M9" i="8"/>
  <c r="M20" i="8"/>
  <c r="M35" i="3"/>
  <c r="M27" i="3"/>
  <c r="M19" i="3"/>
  <c r="M19" i="8"/>
  <c r="M26" i="3"/>
  <c r="M26" i="8"/>
  <c r="M40" i="3"/>
  <c r="M32" i="3"/>
  <c r="M24" i="3"/>
  <c r="M16" i="3"/>
  <c r="M8" i="3"/>
  <c r="M40" i="8"/>
  <c r="M32" i="8"/>
  <c r="M24" i="8"/>
  <c r="M16" i="8"/>
  <c r="M8" i="8"/>
  <c r="M28" i="3"/>
  <c r="M28" i="8"/>
  <c r="M3" i="3"/>
  <c r="M35" i="8"/>
  <c r="M2" i="8"/>
  <c r="M39" i="3"/>
  <c r="M31" i="3"/>
  <c r="M23" i="3"/>
  <c r="M15" i="3"/>
  <c r="M7" i="3"/>
  <c r="M39" i="8"/>
  <c r="M31" i="8"/>
  <c r="M23" i="8"/>
  <c r="M15" i="8"/>
  <c r="M7" i="8"/>
  <c r="M20" i="3"/>
  <c r="M36" i="8"/>
  <c r="M27" i="8"/>
  <c r="M2" i="3"/>
  <c r="M34" i="8"/>
  <c r="M38" i="3"/>
  <c r="M30" i="3"/>
  <c r="M22" i="3"/>
  <c r="M14" i="3"/>
  <c r="M6" i="3"/>
  <c r="M38" i="8"/>
  <c r="M30" i="8"/>
  <c r="M22" i="8"/>
  <c r="M14" i="8"/>
  <c r="M6" i="8"/>
  <c r="M4" i="3"/>
  <c r="M4" i="8"/>
  <c r="M11" i="8"/>
  <c r="M34" i="3"/>
  <c r="M10" i="3"/>
  <c r="M18" i="8"/>
  <c r="M37" i="3"/>
  <c r="M29" i="3"/>
  <c r="M21" i="3"/>
  <c r="M13" i="3"/>
  <c r="M5" i="3"/>
  <c r="M37" i="8"/>
  <c r="M29" i="8"/>
  <c r="M21" i="8"/>
  <c r="M13" i="8"/>
  <c r="I10" i="3"/>
  <c r="K10" i="3" s="1"/>
  <c r="I12" i="3"/>
  <c r="K12" i="3" s="1"/>
  <c r="I27" i="3"/>
  <c r="K27" i="3" s="1"/>
  <c r="I9" i="3"/>
  <c r="K9" i="3" s="1"/>
  <c r="I32" i="3"/>
  <c r="K32" i="3" s="1"/>
  <c r="I40" i="3"/>
  <c r="K40" i="3" s="1"/>
  <c r="I16" i="3"/>
  <c r="K16" i="3" s="1"/>
  <c r="I38" i="3"/>
  <c r="K38" i="3" s="1"/>
  <c r="E2" i="3"/>
  <c r="A2" i="8" l="1" a="1"/>
  <c r="L3" i="3"/>
  <c r="N3" i="3" s="1"/>
  <c r="O3" i="3" s="1"/>
  <c r="Q3" i="3" s="1"/>
  <c r="L11" i="3"/>
  <c r="N11" i="3" s="1"/>
  <c r="O11" i="3" s="1"/>
  <c r="S11" i="3" s="1"/>
  <c r="L19" i="3"/>
  <c r="N19" i="3" s="1"/>
  <c r="O19" i="3" s="1"/>
  <c r="S19" i="3" s="1"/>
  <c r="L27" i="3"/>
  <c r="N27" i="3" s="1"/>
  <c r="O27" i="3" s="1"/>
  <c r="Q27" i="3" s="1"/>
  <c r="L35" i="3"/>
  <c r="N35" i="3" s="1"/>
  <c r="O35" i="3" s="1"/>
  <c r="Q35" i="3" s="1"/>
  <c r="L30" i="3"/>
  <c r="N30" i="3" s="1"/>
  <c r="O30" i="3" s="1"/>
  <c r="S30" i="3" s="1"/>
  <c r="L26" i="3"/>
  <c r="N26" i="3" s="1"/>
  <c r="O26" i="3" s="1"/>
  <c r="S26" i="3" s="1"/>
  <c r="L4" i="3"/>
  <c r="N4" i="3" s="1"/>
  <c r="O4" i="3" s="1"/>
  <c r="S4" i="3" s="1"/>
  <c r="L12" i="3"/>
  <c r="N12" i="3" s="1"/>
  <c r="O12" i="3" s="1"/>
  <c r="S12" i="3" s="1"/>
  <c r="L20" i="3"/>
  <c r="N20" i="3" s="1"/>
  <c r="O20" i="3" s="1"/>
  <c r="S20" i="3" s="1"/>
  <c r="L28" i="3"/>
  <c r="N28" i="3" s="1"/>
  <c r="O28" i="3" s="1"/>
  <c r="Q28" i="3" s="1"/>
  <c r="L36" i="3"/>
  <c r="N36" i="3" s="1"/>
  <c r="O36" i="3" s="1"/>
  <c r="S36" i="3" s="1"/>
  <c r="L38" i="3"/>
  <c r="N38" i="3" s="1"/>
  <c r="O38" i="3" s="1"/>
  <c r="Q38" i="3" s="1"/>
  <c r="L18" i="3"/>
  <c r="N18" i="3" s="1"/>
  <c r="O18" i="3" s="1"/>
  <c r="S18" i="3" s="1"/>
  <c r="L5" i="3"/>
  <c r="N5" i="3" s="1"/>
  <c r="O5" i="3" s="1"/>
  <c r="S5" i="3" s="1"/>
  <c r="L13" i="3"/>
  <c r="N13" i="3" s="1"/>
  <c r="O13" i="3" s="1"/>
  <c r="S13" i="3" s="1"/>
  <c r="L21" i="3"/>
  <c r="N21" i="3" s="1"/>
  <c r="O21" i="3" s="1"/>
  <c r="Q21" i="3" s="1"/>
  <c r="L29" i="3"/>
  <c r="N29" i="3" s="1"/>
  <c r="O29" i="3" s="1"/>
  <c r="Q29" i="3" s="1"/>
  <c r="L37" i="3"/>
  <c r="N37" i="3" s="1"/>
  <c r="O37" i="3" s="1"/>
  <c r="S37" i="3" s="1"/>
  <c r="L14" i="3"/>
  <c r="N14" i="3" s="1"/>
  <c r="O14" i="3" s="1"/>
  <c r="S14" i="3" s="1"/>
  <c r="L6" i="3"/>
  <c r="N6" i="3" s="1"/>
  <c r="O6" i="3" s="1"/>
  <c r="S6" i="3" s="1"/>
  <c r="L22" i="3"/>
  <c r="N22" i="3" s="1"/>
  <c r="O22" i="3" s="1"/>
  <c r="Q22" i="3" s="1"/>
  <c r="L7" i="3"/>
  <c r="N7" i="3" s="1"/>
  <c r="O7" i="3" s="1"/>
  <c r="Q7" i="3" s="1"/>
  <c r="L15" i="3"/>
  <c r="N15" i="3" s="1"/>
  <c r="O15" i="3" s="1"/>
  <c r="S15" i="3" s="1"/>
  <c r="L23" i="3"/>
  <c r="N23" i="3" s="1"/>
  <c r="O23" i="3" s="1"/>
  <c r="S23" i="3" s="1"/>
  <c r="L31" i="3"/>
  <c r="N31" i="3" s="1"/>
  <c r="O31" i="3" s="1"/>
  <c r="S31" i="3" s="1"/>
  <c r="L39" i="3"/>
  <c r="N39" i="3" s="1"/>
  <c r="O39" i="3" s="1"/>
  <c r="S39" i="3" s="1"/>
  <c r="L9" i="3"/>
  <c r="N9" i="3" s="1"/>
  <c r="O9" i="3" s="1"/>
  <c r="Q9" i="3" s="1"/>
  <c r="L33" i="3"/>
  <c r="N33" i="3" s="1"/>
  <c r="O33" i="3" s="1"/>
  <c r="Q33" i="3" s="1"/>
  <c r="L34" i="3"/>
  <c r="N34" i="3" s="1"/>
  <c r="O34" i="3" s="1"/>
  <c r="Q34" i="3" s="1"/>
  <c r="L8" i="3"/>
  <c r="N8" i="3" s="1"/>
  <c r="O8" i="3" s="1"/>
  <c r="S8" i="3" s="1"/>
  <c r="L16" i="3"/>
  <c r="N16" i="3" s="1"/>
  <c r="O16" i="3" s="1"/>
  <c r="S16" i="3" s="1"/>
  <c r="L24" i="3"/>
  <c r="N24" i="3" s="1"/>
  <c r="O24" i="3" s="1"/>
  <c r="Q24" i="3" s="1"/>
  <c r="L32" i="3"/>
  <c r="N32" i="3" s="1"/>
  <c r="O32" i="3" s="1"/>
  <c r="S32" i="3" s="1"/>
  <c r="L40" i="3"/>
  <c r="N40" i="3" s="1"/>
  <c r="O40" i="3" s="1"/>
  <c r="Q40" i="3" s="1"/>
  <c r="L17" i="3"/>
  <c r="N17" i="3" s="1"/>
  <c r="O17" i="3" s="1"/>
  <c r="S17" i="3" s="1"/>
  <c r="L25" i="3"/>
  <c r="N25" i="3" s="1"/>
  <c r="O25" i="3" s="1"/>
  <c r="S25" i="3" s="1"/>
  <c r="L41" i="3"/>
  <c r="N41" i="3" s="1"/>
  <c r="O41" i="3" s="1"/>
  <c r="S41" i="3" s="1"/>
  <c r="L10" i="3"/>
  <c r="N10" i="3" s="1"/>
  <c r="O10" i="3" s="1"/>
  <c r="L2" i="3"/>
  <c r="N2" i="3" s="1"/>
  <c r="O2" i="3" s="1"/>
  <c r="S2" i="3" s="1"/>
  <c r="A2" i="8" l="1"/>
  <c r="C42" i="4"/>
  <c r="C45" i="4"/>
  <c r="E19" i="4"/>
  <c r="C41" i="4"/>
  <c r="C44" i="4"/>
  <c r="C40" i="4"/>
  <c r="G6" i="4"/>
  <c r="G8" i="4" s="1"/>
  <c r="B42" i="4"/>
  <c r="C43" i="4"/>
  <c r="B40" i="4"/>
  <c r="B46" i="4"/>
  <c r="B45" i="4"/>
  <c r="B44" i="4"/>
  <c r="B50" i="4"/>
  <c r="B43" i="4"/>
  <c r="B19" i="4"/>
  <c r="C46" i="4"/>
  <c r="B41" i="4"/>
  <c r="D19" i="4"/>
  <c r="Q30" i="3"/>
  <c r="S22" i="3"/>
  <c r="Q18" i="3"/>
  <c r="L34" i="8"/>
  <c r="N34" i="8" s="1"/>
  <c r="O34" i="8" s="1"/>
  <c r="T34" i="8" s="1"/>
  <c r="L33" i="8"/>
  <c r="N33" i="8" s="1"/>
  <c r="O33" i="8" s="1"/>
  <c r="L8" i="8"/>
  <c r="N8" i="8" s="1"/>
  <c r="O8" i="8" s="1"/>
  <c r="L17" i="8"/>
  <c r="N17" i="8" s="1"/>
  <c r="O17" i="8" s="1"/>
  <c r="L6" i="8"/>
  <c r="N6" i="8" s="1"/>
  <c r="O6" i="8" s="1"/>
  <c r="L35" i="8"/>
  <c r="N35" i="8" s="1"/>
  <c r="O35" i="8" s="1"/>
  <c r="T35" i="8" s="1"/>
  <c r="L30" i="8"/>
  <c r="N30" i="8" s="1"/>
  <c r="O30" i="8" s="1"/>
  <c r="T30" i="8" s="1"/>
  <c r="L36" i="8"/>
  <c r="N36" i="8" s="1"/>
  <c r="O36" i="8" s="1"/>
  <c r="T36" i="8" s="1"/>
  <c r="L32" i="8"/>
  <c r="N32" i="8" s="1"/>
  <c r="O32" i="8" s="1"/>
  <c r="T32" i="8" s="1"/>
  <c r="L25" i="8"/>
  <c r="N25" i="8" s="1"/>
  <c r="O25" i="8" s="1"/>
  <c r="T25" i="8" s="1"/>
  <c r="L2" i="8"/>
  <c r="N2" i="8" s="1"/>
  <c r="L9" i="8"/>
  <c r="N9" i="8" s="1"/>
  <c r="O9" i="8" s="1"/>
  <c r="L11" i="8"/>
  <c r="N11" i="8" s="1"/>
  <c r="O11" i="8" s="1"/>
  <c r="L21" i="8"/>
  <c r="N21" i="8" s="1"/>
  <c r="O21" i="8" s="1"/>
  <c r="L31" i="8"/>
  <c r="N31" i="8" s="1"/>
  <c r="O31" i="8" s="1"/>
  <c r="L4" i="8"/>
  <c r="N4" i="8" s="1"/>
  <c r="O4" i="8" s="1"/>
  <c r="L24" i="8"/>
  <c r="N24" i="8" s="1"/>
  <c r="O24" i="8" s="1"/>
  <c r="T24" i="8" s="1"/>
  <c r="L29" i="8"/>
  <c r="N29" i="8" s="1"/>
  <c r="O29" i="8" s="1"/>
  <c r="T29" i="8" s="1"/>
  <c r="L22" i="8"/>
  <c r="N22" i="8" s="1"/>
  <c r="O22" i="8" s="1"/>
  <c r="L14" i="8"/>
  <c r="N14" i="8" s="1"/>
  <c r="O14" i="8" s="1"/>
  <c r="L3" i="8"/>
  <c r="N3" i="8" s="1"/>
  <c r="O3" i="8" s="1"/>
  <c r="L23" i="8"/>
  <c r="N23" i="8" s="1"/>
  <c r="O23" i="8" s="1"/>
  <c r="T23" i="8" s="1"/>
  <c r="L26" i="8"/>
  <c r="N26" i="8" s="1"/>
  <c r="O26" i="8" s="1"/>
  <c r="T26" i="8" s="1"/>
  <c r="L28" i="8"/>
  <c r="N28" i="8" s="1"/>
  <c r="O28" i="8" s="1"/>
  <c r="L41" i="8"/>
  <c r="N41" i="8" s="1"/>
  <c r="P41" i="8" s="1"/>
  <c r="L37" i="8"/>
  <c r="N37" i="8" s="1"/>
  <c r="O37" i="8" s="1"/>
  <c r="T37" i="8" s="1"/>
  <c r="L13" i="8"/>
  <c r="N13" i="8" s="1"/>
  <c r="O13" i="8" s="1"/>
  <c r="L5" i="8"/>
  <c r="N5" i="8" s="1"/>
  <c r="O5" i="8" s="1"/>
  <c r="L18" i="8"/>
  <c r="N18" i="8" s="1"/>
  <c r="O18" i="8" s="1"/>
  <c r="L38" i="8"/>
  <c r="N38" i="8" s="1"/>
  <c r="O38" i="8" s="1"/>
  <c r="T38" i="8" s="1"/>
  <c r="L7" i="8"/>
  <c r="N7" i="8" s="1"/>
  <c r="O7" i="8" s="1"/>
  <c r="T7" i="8" s="1"/>
  <c r="L39" i="8"/>
  <c r="N39" i="8" s="1"/>
  <c r="O39" i="8" s="1"/>
  <c r="T39" i="8" s="1"/>
  <c r="L12" i="8"/>
  <c r="N12" i="8" s="1"/>
  <c r="O12" i="8" s="1"/>
  <c r="T12" i="8" s="1"/>
  <c r="L15" i="8"/>
  <c r="N15" i="8" s="1"/>
  <c r="O15" i="8" s="1"/>
  <c r="L19" i="8"/>
  <c r="N19" i="8" s="1"/>
  <c r="O19" i="8" s="1"/>
  <c r="L27" i="8"/>
  <c r="N27" i="8" s="1"/>
  <c r="O27" i="8" s="1"/>
  <c r="L20" i="8"/>
  <c r="N20" i="8" s="1"/>
  <c r="O20" i="8" s="1"/>
  <c r="L16" i="8"/>
  <c r="N16" i="8" s="1"/>
  <c r="O16" i="8" s="1"/>
  <c r="T16" i="8" s="1"/>
  <c r="L40" i="8"/>
  <c r="N40" i="8" s="1"/>
  <c r="O40" i="8" s="1"/>
  <c r="T40" i="8" s="1"/>
  <c r="L10" i="8"/>
  <c r="N10" i="8" s="1"/>
  <c r="O10" i="8" s="1"/>
  <c r="T10" i="8" s="1"/>
  <c r="Q36" i="3"/>
  <c r="Q17" i="3"/>
  <c r="S9" i="3"/>
  <c r="S27" i="3"/>
  <c r="Q39" i="3"/>
  <c r="Q14" i="3"/>
  <c r="S38" i="3"/>
  <c r="S34" i="3"/>
  <c r="Q41" i="3"/>
  <c r="Q12" i="3"/>
  <c r="S21" i="3"/>
  <c r="S28" i="3"/>
  <c r="S33" i="3"/>
  <c r="Q6" i="3"/>
  <c r="Q32" i="3"/>
  <c r="S7" i="3"/>
  <c r="Q20" i="3"/>
  <c r="Q37" i="3"/>
  <c r="P11" i="3"/>
  <c r="Q25" i="3"/>
  <c r="P22" i="3"/>
  <c r="R22" i="3" s="1"/>
  <c r="P10" i="3"/>
  <c r="P7" i="3"/>
  <c r="R7" i="3" s="1"/>
  <c r="Q2" i="3"/>
  <c r="P18" i="3"/>
  <c r="Q13" i="3"/>
  <c r="Q31" i="3"/>
  <c r="P39" i="3"/>
  <c r="P16" i="3"/>
  <c r="P28" i="3"/>
  <c r="R28" i="3" s="1"/>
  <c r="P17" i="3"/>
  <c r="P30" i="3"/>
  <c r="Q19" i="3"/>
  <c r="P41" i="3"/>
  <c r="P35" i="3"/>
  <c r="R35" i="3" s="1"/>
  <c r="P20" i="3"/>
  <c r="P4" i="3"/>
  <c r="P13" i="3"/>
  <c r="P14" i="3"/>
  <c r="Q26" i="3"/>
  <c r="Q5" i="3"/>
  <c r="P5" i="3"/>
  <c r="Q4" i="3"/>
  <c r="P32" i="3"/>
  <c r="P2" i="3"/>
  <c r="P37" i="3"/>
  <c r="P26" i="3"/>
  <c r="P15" i="3"/>
  <c r="P33" i="3"/>
  <c r="R33" i="3" s="1"/>
  <c r="P12" i="3"/>
  <c r="P8" i="3"/>
  <c r="P27" i="3"/>
  <c r="R27" i="3" s="1"/>
  <c r="P36" i="3"/>
  <c r="Q8" i="3"/>
  <c r="Q15" i="3"/>
  <c r="P24" i="3"/>
  <c r="R24" i="3" s="1"/>
  <c r="P19" i="3"/>
  <c r="P9" i="3"/>
  <c r="R9" i="3" s="1"/>
  <c r="P34" i="3"/>
  <c r="R34" i="3" s="1"/>
  <c r="P38" i="3"/>
  <c r="R38" i="3" s="1"/>
  <c r="P40" i="3"/>
  <c r="R40" i="3" s="1"/>
  <c r="P25" i="3"/>
  <c r="P29" i="3"/>
  <c r="R29" i="3" s="1"/>
  <c r="P6" i="3"/>
  <c r="Q11" i="3"/>
  <c r="S40" i="3"/>
  <c r="S10" i="3"/>
  <c r="Q10" i="3"/>
  <c r="P23" i="3"/>
  <c r="P31" i="3"/>
  <c r="S35" i="3"/>
  <c r="Q23" i="3"/>
  <c r="P3" i="3"/>
  <c r="R3" i="3" s="1"/>
  <c r="S3" i="3"/>
  <c r="P21" i="3"/>
  <c r="R21" i="3" s="1"/>
  <c r="Q16" i="3"/>
  <c r="S29" i="3"/>
  <c r="S24" i="3"/>
  <c r="R12" i="8"/>
  <c r="R16" i="8"/>
  <c r="R37" i="8"/>
  <c r="R36" i="8"/>
  <c r="R39" i="8"/>
  <c r="R25" i="8"/>
  <c r="R23" i="8"/>
  <c r="R10" i="8"/>
  <c r="R32" i="8"/>
  <c r="R26" i="8"/>
  <c r="R34" i="8" l="1"/>
  <c r="C47" i="4"/>
  <c r="R36" i="3"/>
  <c r="R24" i="8"/>
  <c r="O41" i="8"/>
  <c r="B27" i="4" s="1"/>
  <c r="R31" i="8"/>
  <c r="T31" i="8"/>
  <c r="T21" i="8"/>
  <c r="B16" i="4"/>
  <c r="D44" i="4"/>
  <c r="R7" i="8"/>
  <c r="R3" i="8"/>
  <c r="T3" i="8"/>
  <c r="B18" i="4"/>
  <c r="B14" i="4"/>
  <c r="R20" i="8"/>
  <c r="T20" i="8"/>
  <c r="R11" i="8"/>
  <c r="T11" i="8"/>
  <c r="R14" i="8"/>
  <c r="T14" i="8"/>
  <c r="R9" i="8"/>
  <c r="T9" i="8"/>
  <c r="R17" i="8"/>
  <c r="T17" i="8"/>
  <c r="P40" i="8"/>
  <c r="R19" i="8"/>
  <c r="T19" i="8"/>
  <c r="R13" i="8"/>
  <c r="T13" i="8"/>
  <c r="R22" i="8"/>
  <c r="T22" i="8"/>
  <c r="O2" i="8"/>
  <c r="A6" i="4"/>
  <c r="R8" i="8"/>
  <c r="T8" i="8"/>
  <c r="B47" i="4"/>
  <c r="D41" i="4"/>
  <c r="R18" i="8"/>
  <c r="T18" i="8"/>
  <c r="R6" i="8"/>
  <c r="T6" i="8"/>
  <c r="D45" i="4"/>
  <c r="F45" i="4" s="1"/>
  <c r="B13" i="4"/>
  <c r="R27" i="8"/>
  <c r="T27" i="8"/>
  <c r="R15" i="8"/>
  <c r="T15" i="8"/>
  <c r="R33" i="8"/>
  <c r="T33" i="8"/>
  <c r="D43" i="4"/>
  <c r="B15" i="4"/>
  <c r="R41" i="8"/>
  <c r="T41" i="8"/>
  <c r="D42" i="4"/>
  <c r="R35" i="8"/>
  <c r="P33" i="8"/>
  <c r="R5" i="8"/>
  <c r="T5" i="8"/>
  <c r="R40" i="8"/>
  <c r="R29" i="8"/>
  <c r="R38" i="8"/>
  <c r="R30" i="8"/>
  <c r="R14" i="3"/>
  <c r="R30" i="3"/>
  <c r="R28" i="8"/>
  <c r="T28" i="8"/>
  <c r="R4" i="8"/>
  <c r="T4" i="8"/>
  <c r="B53" i="4"/>
  <c r="B54" i="4" s="1"/>
  <c r="B52" i="4"/>
  <c r="B17" i="4"/>
  <c r="P36" i="8"/>
  <c r="R18" i="3"/>
  <c r="P5" i="8"/>
  <c r="P18" i="8"/>
  <c r="P16" i="8"/>
  <c r="P21" i="8"/>
  <c r="P10" i="8"/>
  <c r="P32" i="8"/>
  <c r="P28" i="8"/>
  <c r="R39" i="3"/>
  <c r="P38" i="8"/>
  <c r="P31" i="8"/>
  <c r="P15" i="8"/>
  <c r="P35" i="8"/>
  <c r="P13" i="8"/>
  <c r="P11" i="8"/>
  <c r="P34" i="8"/>
  <c r="P20" i="8"/>
  <c r="P3" i="8"/>
  <c r="P26" i="8"/>
  <c r="P14" i="8"/>
  <c r="P6" i="8"/>
  <c r="P7" i="8"/>
  <c r="P9" i="8"/>
  <c r="R31" i="3"/>
  <c r="P4" i="8"/>
  <c r="P19" i="8"/>
  <c r="R20" i="3"/>
  <c r="P12" i="8"/>
  <c r="P22" i="8"/>
  <c r="P30" i="8"/>
  <c r="P23" i="8"/>
  <c r="P24" i="8"/>
  <c r="P25" i="8"/>
  <c r="P29" i="8"/>
  <c r="P8" i="8"/>
  <c r="P17" i="8"/>
  <c r="P27" i="8"/>
  <c r="P37" i="8"/>
  <c r="P39" i="8"/>
  <c r="P2" i="8"/>
  <c r="Q12" i="8" s="1"/>
  <c r="S12" i="8" s="1"/>
  <c r="R12" i="3"/>
  <c r="R11" i="3"/>
  <c r="R17" i="3"/>
  <c r="R6" i="3"/>
  <c r="R41" i="3"/>
  <c r="R2" i="3"/>
  <c r="R10" i="3"/>
  <c r="R8" i="3"/>
  <c r="R19" i="3"/>
  <c r="R32" i="3"/>
  <c r="R23" i="3"/>
  <c r="R26" i="3"/>
  <c r="R16" i="3"/>
  <c r="R25" i="3"/>
  <c r="R13" i="3"/>
  <c r="R15" i="3"/>
  <c r="R4" i="3"/>
  <c r="R37" i="3"/>
  <c r="R21" i="8"/>
  <c r="R5" i="3"/>
  <c r="D46" i="4" l="1"/>
  <c r="E46" i="4" s="1"/>
  <c r="E44" i="4"/>
  <c r="F44" i="4"/>
  <c r="F41" i="4"/>
  <c r="E41" i="4"/>
  <c r="D27" i="4"/>
  <c r="C16" i="4"/>
  <c r="T2" i="8"/>
  <c r="C6" i="4"/>
  <c r="C8" i="4" s="1"/>
  <c r="I6" i="4" a="1"/>
  <c r="I6" i="4" s="1"/>
  <c r="I8" i="4" s="1"/>
  <c r="B12" i="4"/>
  <c r="B21" i="4" s="1"/>
  <c r="C14" i="4" s="1"/>
  <c r="B26" i="4"/>
  <c r="D26" i="4" s="1"/>
  <c r="B28" i="4"/>
  <c r="D28" i="4" s="1"/>
  <c r="D25" i="4"/>
  <c r="R2" i="8"/>
  <c r="B32" i="4" s="1"/>
  <c r="B34" i="4" s="1"/>
  <c r="B35" i="4" s="1"/>
  <c r="D40" i="4"/>
  <c r="C15" i="4"/>
  <c r="C13" i="4"/>
  <c r="C18" i="4"/>
  <c r="F42" i="4"/>
  <c r="E42" i="4"/>
  <c r="E45" i="4"/>
  <c r="E43" i="4"/>
  <c r="F43" i="4"/>
  <c r="Q9" i="8"/>
  <c r="S9" i="8" s="1"/>
  <c r="Q19" i="8"/>
  <c r="S19" i="8" s="1"/>
  <c r="Q4" i="8"/>
  <c r="S4" i="8" s="1"/>
  <c r="Q18" i="8"/>
  <c r="Q33" i="8"/>
  <c r="S33" i="8" s="1"/>
  <c r="Q27" i="8"/>
  <c r="S27" i="8" s="1"/>
  <c r="Q13" i="8"/>
  <c r="S13" i="8" s="1"/>
  <c r="Q2" i="8"/>
  <c r="Q20" i="8"/>
  <c r="S20" i="8" s="1"/>
  <c r="Q34" i="8"/>
  <c r="S34" i="8" s="1"/>
  <c r="Q26" i="8"/>
  <c r="S26" i="8" s="1"/>
  <c r="Q37" i="8"/>
  <c r="S37" i="8" s="1"/>
  <c r="Q24" i="8"/>
  <c r="S24" i="8" s="1"/>
  <c r="Q23" i="8"/>
  <c r="S23" i="8" s="1"/>
  <c r="Q25" i="8"/>
  <c r="Q35" i="8"/>
  <c r="S35" i="8" s="1"/>
  <c r="Q22" i="8"/>
  <c r="S22" i="8" s="1"/>
  <c r="Q6" i="8"/>
  <c r="S6" i="8" s="1"/>
  <c r="Q14" i="8"/>
  <c r="S14" i="8" s="1"/>
  <c r="Q41" i="8"/>
  <c r="S41" i="8" s="1"/>
  <c r="Q30" i="8"/>
  <c r="S30" i="8" s="1"/>
  <c r="Q15" i="8"/>
  <c r="Q16" i="8"/>
  <c r="S16" i="8" s="1"/>
  <c r="Q11" i="8"/>
  <c r="S11" i="8" s="1"/>
  <c r="Q28" i="8"/>
  <c r="S28" i="8" s="1"/>
  <c r="Q39" i="8"/>
  <c r="S39" i="8" s="1"/>
  <c r="Q38" i="8"/>
  <c r="Q3" i="8"/>
  <c r="S3" i="8" s="1"/>
  <c r="Q32" i="8"/>
  <c r="S32" i="8" s="1"/>
  <c r="Q31" i="8"/>
  <c r="S31" i="8" s="1"/>
  <c r="Q29" i="8"/>
  <c r="S29" i="8" s="1"/>
  <c r="Q8" i="8"/>
  <c r="S8" i="8" s="1"/>
  <c r="Q7" i="8"/>
  <c r="Q17" i="8"/>
  <c r="S17" i="8" s="1"/>
  <c r="Q5" i="8"/>
  <c r="S5" i="8" s="1"/>
  <c r="Q10" i="8"/>
  <c r="S10" i="8" s="1"/>
  <c r="Q36" i="8"/>
  <c r="S36" i="8" s="1"/>
  <c r="Q40" i="8"/>
  <c r="S40" i="8" s="1"/>
  <c r="Q21" i="8"/>
  <c r="F46" i="4" l="1"/>
  <c r="S18" i="8"/>
  <c r="E15" i="4" s="1"/>
  <c r="D15" i="4"/>
  <c r="S38" i="8"/>
  <c r="E18" i="4" s="1"/>
  <c r="D18" i="4"/>
  <c r="C12" i="4"/>
  <c r="C19" i="4"/>
  <c r="S2" i="8"/>
  <c r="B31" i="4"/>
  <c r="B36" i="4" s="1"/>
  <c r="K8" i="4"/>
  <c r="D12" i="4"/>
  <c r="S15" i="8"/>
  <c r="E14" i="4" s="1"/>
  <c r="D14" i="4"/>
  <c r="S7" i="8"/>
  <c r="E13" i="4" s="1"/>
  <c r="D13" i="4"/>
  <c r="S21" i="8"/>
  <c r="E16" i="4" s="1"/>
  <c r="D16" i="4"/>
  <c r="S25" i="8"/>
  <c r="E17" i="4" s="1"/>
  <c r="D17" i="4"/>
  <c r="D47" i="4"/>
  <c r="E40" i="4"/>
  <c r="E47" i="4" s="1"/>
  <c r="F40" i="4"/>
  <c r="F47" i="4" s="1"/>
  <c r="E6" i="4"/>
  <c r="E8" i="4" s="1"/>
  <c r="B25" i="4"/>
  <c r="B24" i="4"/>
  <c r="D24" i="4" s="1"/>
  <c r="C17" i="4"/>
  <c r="D21" i="4" l="1"/>
  <c r="G35" i="4"/>
  <c r="G34" i="4"/>
  <c r="G33" i="4"/>
  <c r="G32" i="4"/>
  <c r="B33" i="4"/>
  <c r="A8" i="4"/>
  <c r="K6" i="4"/>
  <c r="E12" i="4"/>
  <c r="E21" i="4" s="1"/>
  <c r="C21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335EE7-F773-4AE7-A280-5854CFD814C6}" keepAlive="1" name="Query - German_Power_Plant_Database_2024_CORRECTED" description="Connection to the 'German_Power_Plant_Database_2024_CORRECTED' query in the workbook." type="5" refreshedVersion="8" background="1" saveData="1">
    <dbPr connection="Provider=Microsoft.Mashup.OleDb.1;Data Source=$Workbook$;Location=German_Power_Plant_Database_2024_CORRECTED;Extended Properties=&quot;&quot;" command="SELECT * FROM [German_Power_Plant_Database_2024_CORRECTED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<sst xmlns="http://schemas.openxmlformats.org/spreadsheetml/2006/main" count="313" uniqueCount="191">
  <si>
    <t>Plant_ID</t>
  </si>
  <si>
    <t>Plant_Name</t>
  </si>
  <si>
    <t>Plant_Type</t>
  </si>
  <si>
    <t>Technology</t>
  </si>
  <si>
    <t>Capacity_MW</t>
  </si>
  <si>
    <t>Fuel_Cost_EUR_MWh</t>
  </si>
  <si>
    <t>CO2_Emissions_t_MWh</t>
  </si>
  <si>
    <t>Fixed_OM_EUR_MW_yr</t>
  </si>
  <si>
    <t>Variable_OM_EUR_MWh</t>
  </si>
  <si>
    <t>Availability_Percent</t>
  </si>
  <si>
    <t>Lignite</t>
  </si>
  <si>
    <t>Coal</t>
  </si>
  <si>
    <t>Hard Coal</t>
  </si>
  <si>
    <t>CCGT</t>
  </si>
  <si>
    <t>Gas</t>
  </si>
  <si>
    <t>OCGT</t>
  </si>
  <si>
    <t>Gas Peaker</t>
  </si>
  <si>
    <t>Onshore Wind</t>
  </si>
  <si>
    <t>Wind</t>
  </si>
  <si>
    <t>Offshore Wind</t>
  </si>
  <si>
    <t>Solar PV</t>
  </si>
  <si>
    <t>Solar</t>
  </si>
  <si>
    <t>Hydro</t>
  </si>
  <si>
    <t>Biomass</t>
  </si>
  <si>
    <t>MARKET CONDITIONS</t>
  </si>
  <si>
    <t xml:space="preserve">PRICING PARAMETERS  </t>
  </si>
  <si>
    <t>RENEWABLE AVAILABILITY</t>
  </si>
  <si>
    <t xml:space="preserve">Demand Level (MW):     </t>
  </si>
  <si>
    <t xml:space="preserve">Period:                    </t>
  </si>
  <si>
    <t xml:space="preserve">Season:                     </t>
  </si>
  <si>
    <t>Summer</t>
  </si>
  <si>
    <t xml:space="preserve">Gas Price Multiplier:      </t>
  </si>
  <si>
    <t xml:space="preserve">Carbon Price (€/ton):       </t>
  </si>
  <si>
    <t xml:space="preserve">Coal Price Multiplier:      </t>
  </si>
  <si>
    <t xml:space="preserve">Wind Availability (%):      </t>
  </si>
  <si>
    <t xml:space="preserve">Solar Availability (%):     </t>
  </si>
  <si>
    <t xml:space="preserve"> SCENARIO INPUTS </t>
  </si>
  <si>
    <t>Availability_%</t>
  </si>
  <si>
    <t>Available_Capacity_MW</t>
  </si>
  <si>
    <t>Variable_OM</t>
  </si>
  <si>
    <t>Demand</t>
  </si>
  <si>
    <t>Generation_MW</t>
  </si>
  <si>
    <t>Carbon_Price</t>
  </si>
  <si>
    <t>Lignite_Neurath</t>
  </si>
  <si>
    <t>Lignite_Niederaussem</t>
  </si>
  <si>
    <t>Lignite_Jaenschwalde</t>
  </si>
  <si>
    <t>Lignite_BoxbergII</t>
  </si>
  <si>
    <t>HardCoal_Moorburg</t>
  </si>
  <si>
    <t>HardCoal_Datteln</t>
  </si>
  <si>
    <t>HardCoal_Walsum</t>
  </si>
  <si>
    <t>HardCoal_Wilhelmshaven</t>
  </si>
  <si>
    <t>HardCoal_Mehrum</t>
  </si>
  <si>
    <t>HardCoal_Heyden</t>
  </si>
  <si>
    <t>CCGT_Irsching</t>
  </si>
  <si>
    <t>CCGT_Fortuna</t>
  </si>
  <si>
    <t>CCGT_Leipzig</t>
  </si>
  <si>
    <t>CCGT_GuD_Lausward</t>
  </si>
  <si>
    <t>CCGT_Herne</t>
  </si>
  <si>
    <t>CCGT_Knapsack</t>
  </si>
  <si>
    <t>CCGT_Hamm</t>
  </si>
  <si>
    <t>OCGT_Peak_North</t>
  </si>
  <si>
    <t>OCGT_Peak_South</t>
  </si>
  <si>
    <t>OCGT_Reserve_West</t>
  </si>
  <si>
    <t>OCGT_Grid_Stabilization</t>
  </si>
  <si>
    <t>OnshoreWind_North</t>
  </si>
  <si>
    <t>OnshoreWind_Central</t>
  </si>
  <si>
    <t>OnshoreWind_South</t>
  </si>
  <si>
    <t>OnshoreWind_East</t>
  </si>
  <si>
    <t>OffshoreWind_NorthSea1</t>
  </si>
  <si>
    <t>OffshoreWind_NorthSea2</t>
  </si>
  <si>
    <t>OffshoreWind_Baltic1</t>
  </si>
  <si>
    <t>OffshoreWind_Baltic2</t>
  </si>
  <si>
    <t>Solar_South_Bavaria</t>
  </si>
  <si>
    <t>Solar_Southwest</t>
  </si>
  <si>
    <t>Solar_Central</t>
  </si>
  <si>
    <t>Solar_East</t>
  </si>
  <si>
    <t>Solar_North</t>
  </si>
  <si>
    <t>Hydro_RunOfRiver_Rhine</t>
  </si>
  <si>
    <t>Hydro_RunOfRiver_Danube</t>
  </si>
  <si>
    <t>Hydro_PumpedStorage_Alps</t>
  </si>
  <si>
    <t>Biomass_Agricultural</t>
  </si>
  <si>
    <t>Biomass_Forest</t>
  </si>
  <si>
    <t>Biomass_Waste</t>
  </si>
  <si>
    <t>Fuel_Cost</t>
  </si>
  <si>
    <t>CO2_Emissions</t>
  </si>
  <si>
    <t>Carbon_Cost</t>
  </si>
  <si>
    <t>Cumulative_Capacity</t>
  </si>
  <si>
    <t>Dispatched (Yes/No)</t>
  </si>
  <si>
    <t xml:space="preserve">SRMC(Short Run Marginal Cost) </t>
  </si>
  <si>
    <t>Revenue</t>
  </si>
  <si>
    <t>Total Variable Cost</t>
  </si>
  <si>
    <t>Gross Margin</t>
  </si>
  <si>
    <t>CO2 Emitted</t>
  </si>
  <si>
    <t>Market Price</t>
  </si>
  <si>
    <t>Total Cost</t>
  </si>
  <si>
    <t>Peak</t>
  </si>
  <si>
    <t>Scenario_Name</t>
  </si>
  <si>
    <t>Demand_MW</t>
  </si>
  <si>
    <t>Carbon_Price_EUR_ton</t>
  </si>
  <si>
    <t>Wind_Availability_Percent</t>
  </si>
  <si>
    <t>Solar_Availability_Percent</t>
  </si>
  <si>
    <t>Period_Type</t>
  </si>
  <si>
    <t>Season</t>
  </si>
  <si>
    <t>Base_Load_Summer</t>
  </si>
  <si>
    <t>Base</t>
  </si>
  <si>
    <t>Peak_Load_Winter</t>
  </si>
  <si>
    <t>Winter</t>
  </si>
  <si>
    <t>Off_Peak_Spring</t>
  </si>
  <si>
    <t>Off-Peak</t>
  </si>
  <si>
    <t>Spring</t>
  </si>
  <si>
    <t>High_Wind_Day</t>
  </si>
  <si>
    <t>Fall</t>
  </si>
  <si>
    <t>Low_Renewable_Day</t>
  </si>
  <si>
    <t>High_Solar_Summer</t>
  </si>
  <si>
    <t>Low_Carbon_Price</t>
  </si>
  <si>
    <t>High_Carbon_Price</t>
  </si>
  <si>
    <t>Extreme_Peak</t>
  </si>
  <si>
    <t>Extreme_Low_Demand</t>
  </si>
  <si>
    <t>SCENARIO SELECTOR</t>
  </si>
  <si>
    <t>Select Scenario</t>
  </si>
  <si>
    <t>Typical summer midday with moderate demand</t>
  </si>
  <si>
    <t>Cold winter evening with high heating load</t>
  </si>
  <si>
    <t>Mild spring morning with low demand</t>
  </si>
  <si>
    <t>Windy autumn day with high wind generation</t>
  </si>
  <si>
    <t>Calm winter day with low renewable output</t>
  </si>
  <si>
    <t>Hot summer afternoon with peak solar</t>
  </si>
  <si>
    <t>Same as base but with low carbon price</t>
  </si>
  <si>
    <t>Same as base but with high carbon price</t>
  </si>
  <si>
    <t>Extreme cold snap with maximum demand</t>
  </si>
  <si>
    <t>Warm summer night with minimal demand</t>
  </si>
  <si>
    <t>Description</t>
  </si>
  <si>
    <t>SCENARIO DESCRIPTION</t>
  </si>
  <si>
    <t>POWER MARKET RESULTS DASHBOARD</t>
  </si>
  <si>
    <t>European Electricity Market Analysis</t>
  </si>
  <si>
    <t>Market Clearing Price</t>
  </si>
  <si>
    <t>/MWh</t>
  </si>
  <si>
    <t>Demand Met</t>
  </si>
  <si>
    <t>MW</t>
  </si>
  <si>
    <t>Total CO₂ Emissions</t>
  </si>
  <si>
    <t>tons</t>
  </si>
  <si>
    <t>Reserve Margin</t>
  </si>
  <si>
    <t>Renewable Share</t>
  </si>
  <si>
    <t>% of generation</t>
  </si>
  <si>
    <t>System Gross Margin</t>
  </si>
  <si>
    <t>€ (Producer Surplus)</t>
  </si>
  <si>
    <t>GENERATION MIX ANALYSIS</t>
  </si>
  <si>
    <t>Generation (MW)</t>
  </si>
  <si>
    <t>Share (%)</t>
  </si>
  <si>
    <t>Revenue (€)</t>
  </si>
  <si>
    <t>Gross Margin (€)</t>
  </si>
  <si>
    <t>TOTAL</t>
  </si>
  <si>
    <t>Nuclear</t>
  </si>
  <si>
    <t>ENVIRONMENTAL IMPACT METRICS</t>
  </si>
  <si>
    <t>Grid Carbon Intensity</t>
  </si>
  <si>
    <t>Benchmark:</t>
  </si>
  <si>
    <t>CO₂ Cost Impact:</t>
  </si>
  <si>
    <t>Renewable Generation</t>
  </si>
  <si>
    <t>Share:</t>
  </si>
  <si>
    <t>Fossil Fuel Generation</t>
  </si>
  <si>
    <t>Renewable Curtailment</t>
  </si>
  <si>
    <t>Curtailment Rate:</t>
  </si>
  <si>
    <t>ECONOMIC &amp; FINANCIAL ANALYSIS</t>
  </si>
  <si>
    <t>Total Market Revenue</t>
  </si>
  <si>
    <t>(All generators)</t>
  </si>
  <si>
    <t>Total System Variable Cost</t>
  </si>
  <si>
    <t>(Production cost)</t>
  </si>
  <si>
    <t>(Producer surplus)</t>
  </si>
  <si>
    <t>Average Production Cost</t>
  </si>
  <si>
    <t>(System efficiency)</t>
  </si>
  <si>
    <t>Price-Cost Spread</t>
  </si>
  <si>
    <t>(Market profitability)</t>
  </si>
  <si>
    <t>System ROI</t>
  </si>
  <si>
    <t>(Return on variable cost)</t>
  </si>
  <si>
    <t>Marginal Plant Details</t>
  </si>
  <si>
    <t>Plant Name:</t>
  </si>
  <si>
    <t>SRMC:</t>
  </si>
  <si>
    <t>Generation:</t>
  </si>
  <si>
    <t>Sets market price for all generators</t>
  </si>
  <si>
    <t>Technology:</t>
  </si>
  <si>
    <t>CAPACITY &amp; RELIABILITY METRICS</t>
  </si>
  <si>
    <t>Installed (MW)</t>
  </si>
  <si>
    <t>Available (MW)</t>
  </si>
  <si>
    <t>Dispatched (MW)</t>
  </si>
  <si>
    <t>Utilization (%)</t>
  </si>
  <si>
    <t>Full Load Hours/yr</t>
  </si>
  <si>
    <t>System Reserve Analysis</t>
  </si>
  <si>
    <t>Total Available Capacity:</t>
  </si>
  <si>
    <t>Demand:</t>
  </si>
  <si>
    <t>Reserve Margin (MW):</t>
  </si>
  <si>
    <t>Reserve Margin (%):</t>
  </si>
  <si>
    <t>Status: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</si>
</sst>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7" formatCode="[$€-2]\ #,##0.00_);[Red]\([$€-2]\ #,##0.00\)\ &quot;/MWh&quot;"/>
    <numFmt numFmtId="172" formatCode="0.0%"/>
    <numFmt numFmtId="173" formatCode="[$€-2]\ #,##0"/>
    <numFmt numFmtId="179" formatCode="_-[$€-2]\ * #,##0_-;\-[$€-2]\ * #,##0_-;_-[$€-2]\ * &quot;-&quot;??_-;_-@_-"/>
    <numFmt numFmtId="180" formatCode="0.0\ &quot;g/kWh&quot;"/>
    <numFmt numFmtId="181" formatCode="#,##0\ &quot;tons&quot;"/>
    <numFmt numFmtId="182" formatCode="\€#,##0"/>
    <numFmt numFmtId="183" formatCode="#,##0\ &quot;MW&quot;"/>
    <numFmt numFmtId="184" formatCode="\€0.00\ &quot;/MWh&quot;"/>
    <numFmt numFmtId="185" formatCode="#,##0\ &quot;h&quot;"/>
  </numFmts>
  <fonts count="2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20"/>
      <color theme="0"/>
      <name val="Arial Black"/>
      <family val="2"/>
    </font>
    <font>
      <b/>
      <sz val="14"/>
      <color theme="0"/>
      <name val="Arial"/>
      <family val="2"/>
    </font>
    <font>
      <b/>
      <sz val="14"/>
      <color theme="3" tint="0.249977111117893"/>
      <name val="Arial"/>
      <family val="2"/>
    </font>
    <font>
      <b/>
      <sz val="12"/>
      <color theme="0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0"/>
      <name val="Arial"/>
      <family val="2"/>
    </font>
    <font>
      <b/>
      <sz val="24"/>
      <color rgb="FF0070C0"/>
      <name val="Arial"/>
      <family val="2"/>
    </font>
    <font>
      <b/>
      <sz val="24"/>
      <color rgb="FF00B050"/>
      <name val="Arial"/>
      <family val="2"/>
    </font>
    <font>
      <b/>
      <sz val="24"/>
      <color rgb="FFFF0000"/>
      <name val="Arial"/>
      <family val="2"/>
    </font>
    <font>
      <b/>
      <sz val="24"/>
      <color rgb="FF7030A0"/>
      <name val="Arial"/>
      <family val="2"/>
    </font>
    <font>
      <b/>
      <sz val="24"/>
      <color theme="6"/>
      <name val="Arial"/>
      <family val="2"/>
    </font>
    <font>
      <i/>
      <sz val="11"/>
      <color theme="2" tint="-0.499984740745262"/>
      <name val="Arial"/>
      <family val="2"/>
    </font>
    <font>
      <b/>
      <sz val="11"/>
      <color rgb="FF383A42"/>
      <name val="Arial"/>
      <family val="2"/>
    </font>
    <font>
      <i/>
      <sz val="10"/>
      <color theme="1"/>
      <name val="Arial"/>
      <family val="2"/>
    </font>
    <font>
      <b/>
      <i/>
      <sz val="11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FFF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9.9978637043366805E-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24">
    <xf numFmtId="0" fontId="0" fillId="0" borderId="0" xfId="0"/>
    <xf numFmtId="0" fontId="1" fillId="2" borderId="1" xfId="0" applyFont="1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1" fillId="2" borderId="1" xfId="0" applyFont="1" applyFill="1" applyBorder="1" applyAlignment="1">
      <alignment horizontal="right"/>
    </xf>
    <xf numFmtId="0" fontId="0" fillId="0" borderId="8" xfId="0" applyBorder="1"/>
    <xf numFmtId="0" fontId="1" fillId="0" borderId="8" xfId="0" applyFont="1" applyBorder="1"/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10" fillId="0" borderId="0" xfId="0" applyFont="1"/>
    <xf numFmtId="0" fontId="12" fillId="7" borderId="2" xfId="0" applyFont="1" applyFill="1" applyBorder="1" applyAlignment="1">
      <alignment horizontal="center"/>
    </xf>
    <xf numFmtId="0" fontId="12" fillId="7" borderId="3" xfId="0" applyFont="1" applyFill="1" applyBorder="1" applyAlignment="1">
      <alignment horizontal="center"/>
    </xf>
    <xf numFmtId="0" fontId="10" fillId="0" borderId="4" xfId="0" applyFont="1" applyBorder="1"/>
    <xf numFmtId="167" fontId="13" fillId="0" borderId="4" xfId="0" applyNumberFormat="1" applyFont="1" applyBorder="1" applyAlignment="1">
      <alignment horizontal="center" vertical="center" readingOrder="1"/>
    </xf>
    <xf numFmtId="167" fontId="13" fillId="0" borderId="5" xfId="0" applyNumberFormat="1" applyFont="1" applyBorder="1" applyAlignment="1">
      <alignment horizontal="center" vertical="center" readingOrder="1"/>
    </xf>
    <xf numFmtId="1" fontId="14" fillId="0" borderId="4" xfId="0" applyNumberFormat="1" applyFont="1" applyBorder="1" applyAlignment="1">
      <alignment horizontal="center" vertical="center" readingOrder="1"/>
    </xf>
    <xf numFmtId="1" fontId="14" fillId="0" borderId="5" xfId="0" applyNumberFormat="1" applyFont="1" applyBorder="1" applyAlignment="1">
      <alignment horizontal="center" vertical="center" readingOrder="1"/>
    </xf>
    <xf numFmtId="1" fontId="15" fillId="0" borderId="4" xfId="1" applyNumberFormat="1" applyFont="1" applyBorder="1" applyAlignment="1">
      <alignment horizontal="center" vertical="center" readingOrder="1"/>
    </xf>
    <xf numFmtId="1" fontId="15" fillId="0" borderId="5" xfId="1" applyNumberFormat="1" applyFont="1" applyBorder="1" applyAlignment="1">
      <alignment horizontal="center" vertical="center" readingOrder="1"/>
    </xf>
    <xf numFmtId="1" fontId="16" fillId="0" borderId="4" xfId="0" applyNumberFormat="1" applyFont="1" applyBorder="1" applyAlignment="1">
      <alignment horizontal="center" vertical="center" readingOrder="1"/>
    </xf>
    <xf numFmtId="1" fontId="16" fillId="0" borderId="5" xfId="0" applyNumberFormat="1" applyFont="1" applyBorder="1" applyAlignment="1">
      <alignment horizontal="center" vertical="center" readingOrder="1"/>
    </xf>
    <xf numFmtId="172" fontId="14" fillId="0" borderId="4" xfId="2" applyNumberFormat="1" applyFont="1" applyBorder="1" applyAlignment="1">
      <alignment horizontal="center" vertical="center" readingOrder="1"/>
    </xf>
    <xf numFmtId="172" fontId="14" fillId="0" borderId="5" xfId="2" applyNumberFormat="1" applyFont="1" applyBorder="1" applyAlignment="1">
      <alignment horizontal="center" vertical="center" readingOrder="1"/>
    </xf>
    <xf numFmtId="0" fontId="12" fillId="7" borderId="9" xfId="0" applyFont="1" applyFill="1" applyBorder="1" applyAlignment="1">
      <alignment horizontal="center"/>
    </xf>
    <xf numFmtId="173" fontId="17" fillId="0" borderId="4" xfId="1" applyNumberFormat="1" applyFont="1" applyBorder="1" applyAlignment="1">
      <alignment horizontal="center" vertical="center" readingOrder="1"/>
    </xf>
    <xf numFmtId="173" fontId="17" fillId="0" borderId="0" xfId="1" applyNumberFormat="1" applyFont="1" applyBorder="1" applyAlignment="1">
      <alignment horizontal="center" vertical="center" readingOrder="1"/>
    </xf>
    <xf numFmtId="173" fontId="17" fillId="0" borderId="5" xfId="1" applyNumberFormat="1" applyFont="1" applyBorder="1" applyAlignment="1">
      <alignment horizontal="center" vertical="center" readingOrder="1"/>
    </xf>
    <xf numFmtId="0" fontId="6" fillId="8" borderId="0" xfId="0" applyFont="1" applyFill="1" applyAlignment="1">
      <alignment horizontal="center"/>
    </xf>
    <xf numFmtId="3" fontId="10" fillId="0" borderId="9" xfId="0" applyNumberFormat="1" applyFont="1" applyBorder="1"/>
    <xf numFmtId="172" fontId="10" fillId="0" borderId="9" xfId="0" applyNumberFormat="1" applyFont="1" applyBorder="1"/>
    <xf numFmtId="179" fontId="10" fillId="0" borderId="9" xfId="0" applyNumberFormat="1" applyFont="1" applyBorder="1"/>
    <xf numFmtId="3" fontId="10" fillId="0" borderId="0" xfId="0" applyNumberFormat="1" applyFont="1" applyBorder="1"/>
    <xf numFmtId="172" fontId="10" fillId="0" borderId="0" xfId="0" applyNumberFormat="1" applyFont="1" applyBorder="1"/>
    <xf numFmtId="179" fontId="10" fillId="0" borderId="0" xfId="0" applyNumberFormat="1" applyFont="1" applyBorder="1"/>
    <xf numFmtId="3" fontId="11" fillId="0" borderId="12" xfId="0" applyNumberFormat="1" applyFont="1" applyBorder="1"/>
    <xf numFmtId="172" fontId="11" fillId="0" borderId="12" xfId="0" applyNumberFormat="1" applyFont="1" applyBorder="1"/>
    <xf numFmtId="179" fontId="11" fillId="0" borderId="12" xfId="0" applyNumberFormat="1" applyFont="1" applyBorder="1"/>
    <xf numFmtId="179" fontId="11" fillId="0" borderId="13" xfId="0" applyNumberFormat="1" applyFont="1" applyBorder="1"/>
    <xf numFmtId="0" fontId="8" fillId="7" borderId="11" xfId="0" applyFont="1" applyFill="1" applyBorder="1"/>
    <xf numFmtId="0" fontId="8" fillId="7" borderId="12" xfId="0" applyFont="1" applyFill="1" applyBorder="1"/>
    <xf numFmtId="0" fontId="8" fillId="7" borderId="13" xfId="0" applyFont="1" applyFill="1" applyBorder="1"/>
    <xf numFmtId="0" fontId="10" fillId="0" borderId="2" xfId="0" applyFont="1" applyBorder="1"/>
    <xf numFmtId="179" fontId="10" fillId="0" borderId="3" xfId="0" applyNumberFormat="1" applyFont="1" applyBorder="1"/>
    <xf numFmtId="179" fontId="10" fillId="0" borderId="5" xfId="0" applyNumberFormat="1" applyFont="1" applyBorder="1"/>
    <xf numFmtId="0" fontId="6" fillId="9" borderId="0" xfId="0" applyFont="1" applyFill="1" applyAlignment="1">
      <alignment horizontal="center"/>
    </xf>
    <xf numFmtId="0" fontId="11" fillId="0" borderId="11" xfId="0" applyFont="1" applyBorder="1"/>
    <xf numFmtId="0" fontId="6" fillId="4" borderId="0" xfId="0" applyFont="1" applyFill="1" applyAlignment="1">
      <alignment horizontal="center"/>
    </xf>
    <xf numFmtId="0" fontId="9" fillId="10" borderId="8" xfId="0" applyFont="1" applyFill="1" applyBorder="1" applyAlignment="1">
      <alignment horizontal="right"/>
    </xf>
    <xf numFmtId="0" fontId="9" fillId="0" borderId="8" xfId="0" applyFont="1" applyBorder="1" applyAlignment="1">
      <alignment horizontal="right"/>
    </xf>
    <xf numFmtId="181" fontId="10" fillId="0" borderId="8" xfId="0" applyNumberFormat="1" applyFont="1" applyBorder="1" applyAlignment="1">
      <alignment horizontal="right"/>
    </xf>
    <xf numFmtId="183" fontId="10" fillId="10" borderId="8" xfId="0" applyNumberFormat="1" applyFont="1" applyFill="1" applyBorder="1" applyAlignment="1">
      <alignment horizontal="right"/>
    </xf>
    <xf numFmtId="183" fontId="10" fillId="0" borderId="8" xfId="0" applyNumberFormat="1" applyFont="1" applyBorder="1" applyAlignment="1">
      <alignment horizontal="right"/>
    </xf>
    <xf numFmtId="0" fontId="9" fillId="10" borderId="14" xfId="0" applyFont="1" applyFill="1" applyBorder="1" applyAlignment="1">
      <alignment horizontal="right"/>
    </xf>
    <xf numFmtId="180" fontId="10" fillId="10" borderId="15" xfId="0" applyNumberFormat="1" applyFont="1" applyFill="1" applyBorder="1" applyAlignment="1">
      <alignment horizontal="right"/>
    </xf>
    <xf numFmtId="0" fontId="9" fillId="10" borderId="15" xfId="0" applyFont="1" applyFill="1" applyBorder="1" applyAlignment="1">
      <alignment horizontal="right"/>
    </xf>
    <xf numFmtId="0" fontId="10" fillId="10" borderId="16" xfId="0" applyFont="1" applyFill="1" applyBorder="1" applyAlignment="1">
      <alignment horizontal="right"/>
    </xf>
    <xf numFmtId="0" fontId="9" fillId="0" borderId="17" xfId="0" applyFont="1" applyBorder="1" applyAlignment="1">
      <alignment horizontal="right"/>
    </xf>
    <xf numFmtId="182" fontId="10" fillId="0" borderId="18" xfId="0" applyNumberFormat="1" applyFont="1" applyBorder="1" applyAlignment="1">
      <alignment horizontal="right"/>
    </xf>
    <xf numFmtId="0" fontId="9" fillId="10" borderId="17" xfId="0" applyFont="1" applyFill="1" applyBorder="1" applyAlignment="1">
      <alignment horizontal="right"/>
    </xf>
    <xf numFmtId="172" fontId="10" fillId="10" borderId="18" xfId="0" applyNumberFormat="1" applyFont="1" applyFill="1" applyBorder="1" applyAlignment="1">
      <alignment horizontal="right"/>
    </xf>
    <xf numFmtId="172" fontId="10" fillId="0" borderId="18" xfId="0" applyNumberFormat="1" applyFont="1" applyBorder="1" applyAlignment="1">
      <alignment horizontal="right"/>
    </xf>
    <xf numFmtId="0" fontId="9" fillId="10" borderId="19" xfId="0" applyFont="1" applyFill="1" applyBorder="1" applyAlignment="1">
      <alignment horizontal="right"/>
    </xf>
    <xf numFmtId="183" fontId="10" fillId="10" borderId="20" xfId="0" applyNumberFormat="1" applyFont="1" applyFill="1" applyBorder="1" applyAlignment="1">
      <alignment horizontal="right"/>
    </xf>
    <xf numFmtId="0" fontId="9" fillId="10" borderId="20" xfId="0" applyFont="1" applyFill="1" applyBorder="1" applyAlignment="1">
      <alignment horizontal="right"/>
    </xf>
    <xf numFmtId="172" fontId="10" fillId="10" borderId="21" xfId="0" applyNumberFormat="1" applyFont="1" applyFill="1" applyBorder="1" applyAlignment="1">
      <alignment horizontal="right"/>
    </xf>
    <xf numFmtId="182" fontId="4" fillId="0" borderId="8" xfId="0" applyNumberFormat="1" applyFont="1" applyBorder="1"/>
    <xf numFmtId="184" fontId="4" fillId="0" borderId="8" xfId="0" applyNumberFormat="1" applyFont="1" applyBorder="1"/>
    <xf numFmtId="172" fontId="4" fillId="0" borderId="8" xfId="0" applyNumberFormat="1" applyFont="1" applyBorder="1"/>
    <xf numFmtId="182" fontId="4" fillId="0" borderId="15" xfId="0" applyNumberFormat="1" applyFont="1" applyBorder="1"/>
    <xf numFmtId="0" fontId="18" fillId="0" borderId="16" xfId="0" applyFont="1" applyBorder="1"/>
    <xf numFmtId="0" fontId="18" fillId="0" borderId="18" xfId="0" applyFont="1" applyBorder="1"/>
    <xf numFmtId="0" fontId="9" fillId="0" borderId="19" xfId="0" applyFont="1" applyBorder="1"/>
    <xf numFmtId="172" fontId="4" fillId="0" borderId="20" xfId="0" applyNumberFormat="1" applyFont="1" applyBorder="1"/>
    <xf numFmtId="0" fontId="18" fillId="0" borderId="21" xfId="0" applyFont="1" applyBorder="1"/>
    <xf numFmtId="0" fontId="9" fillId="0" borderId="14" xfId="0" applyFont="1" applyBorder="1" applyAlignment="1">
      <alignment horizontal="right"/>
    </xf>
    <xf numFmtId="0" fontId="9" fillId="0" borderId="19" xfId="0" applyFont="1" applyBorder="1" applyAlignment="1">
      <alignment horizontal="right"/>
    </xf>
    <xf numFmtId="0" fontId="9" fillId="3" borderId="2" xfId="0" applyFont="1" applyFill="1" applyBorder="1" applyAlignment="1">
      <alignment horizontal="center"/>
    </xf>
    <xf numFmtId="0" fontId="9" fillId="3" borderId="9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10" fillId="0" borderId="4" xfId="0" applyFont="1" applyBorder="1" applyAlignment="1">
      <alignment horizontal="left"/>
    </xf>
    <xf numFmtId="0" fontId="10" fillId="0" borderId="0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184" fontId="4" fillId="0" borderId="0" xfId="0" applyNumberFormat="1" applyFont="1" applyBorder="1" applyAlignment="1">
      <alignment horizontal="left"/>
    </xf>
    <xf numFmtId="184" fontId="4" fillId="0" borderId="5" xfId="0" applyNumberFormat="1" applyFont="1" applyBorder="1" applyAlignment="1">
      <alignment horizontal="left"/>
    </xf>
    <xf numFmtId="183" fontId="4" fillId="0" borderId="0" xfId="0" applyNumberFormat="1" applyFont="1" applyBorder="1" applyAlignment="1">
      <alignment horizontal="left"/>
    </xf>
    <xf numFmtId="183" fontId="4" fillId="0" borderId="5" xfId="0" applyNumberFormat="1" applyFont="1" applyBorder="1" applyAlignment="1">
      <alignment horizontal="left"/>
    </xf>
    <xf numFmtId="0" fontId="6" fillId="11" borderId="0" xfId="0" applyFont="1" applyFill="1" applyAlignment="1">
      <alignment horizontal="center"/>
    </xf>
    <xf numFmtId="0" fontId="9" fillId="12" borderId="0" xfId="0" applyFont="1" applyFill="1"/>
    <xf numFmtId="0" fontId="11" fillId="0" borderId="0" xfId="0" applyFont="1" applyAlignment="1">
      <alignment horizontal="center"/>
    </xf>
    <xf numFmtId="0" fontId="4" fillId="0" borderId="14" xfId="0" applyFont="1" applyBorder="1"/>
    <xf numFmtId="185" fontId="4" fillId="0" borderId="16" xfId="0" applyNumberFormat="1" applyFont="1" applyBorder="1"/>
    <xf numFmtId="185" fontId="4" fillId="0" borderId="18" xfId="0" applyNumberFormat="1" applyFont="1" applyBorder="1"/>
    <xf numFmtId="0" fontId="4" fillId="0" borderId="15" xfId="0" applyFont="1" applyBorder="1"/>
    <xf numFmtId="172" fontId="4" fillId="0" borderId="15" xfId="0" applyNumberFormat="1" applyFont="1" applyBorder="1"/>
    <xf numFmtId="0" fontId="4" fillId="0" borderId="17" xfId="0" applyFont="1" applyBorder="1"/>
    <xf numFmtId="0" fontId="4" fillId="0" borderId="8" xfId="0" applyFont="1" applyBorder="1"/>
    <xf numFmtId="0" fontId="9" fillId="0" borderId="20" xfId="0" applyFont="1" applyBorder="1"/>
    <xf numFmtId="172" fontId="9" fillId="0" borderId="20" xfId="0" applyNumberFormat="1" applyFont="1" applyBorder="1"/>
    <xf numFmtId="185" fontId="9" fillId="0" borderId="21" xfId="0" applyNumberFormat="1" applyFont="1" applyBorder="1"/>
    <xf numFmtId="0" fontId="9" fillId="0" borderId="0" xfId="0" applyFont="1" applyAlignment="1">
      <alignment horizontal="right"/>
    </xf>
    <xf numFmtId="0" fontId="19" fillId="0" borderId="0" xfId="0" applyFont="1" applyAlignment="1">
      <alignment horizontal="center" vertical="center" readingOrder="1"/>
    </xf>
    <xf numFmtId="0" fontId="19" fillId="0" borderId="5" xfId="0" applyFont="1" applyBorder="1" applyAlignment="1">
      <alignment horizontal="center" vertical="center" readingOrder="1"/>
    </xf>
    <xf numFmtId="0" fontId="19" fillId="0" borderId="4" xfId="0" applyFont="1" applyBorder="1" applyAlignment="1">
      <alignment horizontal="center" vertical="center" readingOrder="1"/>
    </xf>
    <xf numFmtId="0" fontId="19" fillId="0" borderId="0" xfId="0" applyFont="1" applyBorder="1" applyAlignment="1">
      <alignment horizontal="center" vertical="center" readingOrder="1"/>
    </xf>
    <xf numFmtId="0" fontId="20" fillId="0" borderId="6" xfId="0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183" fontId="4" fillId="0" borderId="0" xfId="0" applyNumberFormat="1" applyFont="1" applyAlignment="1">
      <alignment horizontal="right"/>
    </xf>
    <xf numFmtId="172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21" fillId="0" borderId="6" xfId="0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1" fillId="0" borderId="7" xfId="0" applyFont="1" applyBorder="1" applyAlignment="1">
      <alignment horizontal="center"/>
    </xf>
  </cellXfs>
  <cellStyles count="3">
    <cellStyle name="Comma" xfId="1" builtinId="3"/>
    <cellStyle name="Normal" xfId="0" builtinId="0"/>
    <cellStyle name="Per cent" xfId="2" builtinId="5"/>
  </cellStyles>
  <dxfs count="10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 val="0"/>
        <i val="0"/>
        <color rgb="FF00B050"/>
      </font>
    </dxf>
    <dxf>
      <font>
        <b val="0"/>
        <i val="0"/>
        <color rgb="FFFF0000"/>
      </font>
    </dxf>
    <dxf>
      <font>
        <b val="0"/>
        <i/>
        <color rgb="FF00B050"/>
      </font>
    </dxf>
    <dxf>
      <font>
        <b val="0"/>
        <i/>
        <color rgb="FFFF0000"/>
      </font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7030A0"/>
      <color rgb="FF1F4E78"/>
      <color rgb="FF4472C4"/>
      <color rgb="FFFFC000"/>
      <color rgb="FFD9FF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Generation Mix by Technology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0155768515342779"/>
          <c:y val="0.17613745090374341"/>
          <c:w val="0.43181029385628261"/>
          <c:h val="0.78603748999460177"/>
        </c:manualLayout>
      </c:layout>
      <c:doughnutChart>
        <c:varyColors val="1"/>
        <c:ser>
          <c:idx val="0"/>
          <c:order val="0"/>
          <c:tx>
            <c:strRef>
              <c:f>Results_Dashboard!$B$11</c:f>
              <c:strCache>
                <c:ptCount val="1"/>
                <c:pt idx="0">
                  <c:v>Generation (MW)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955-4901-8C57-34805EF328C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3955-4901-8C57-34805EF328C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955-4901-8C57-34805EF328C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3955-4901-8C57-34805EF328C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955-4901-8C57-34805EF328C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3955-4901-8C57-34805EF328C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955-4901-8C57-34805EF328C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3955-4901-8C57-34805EF328CB}"/>
              </c:ext>
            </c:extLst>
          </c:dPt>
          <c:cat>
            <c:strRef>
              <c:f>Results_Dashboard!$A$12:$A$19</c:f>
              <c:strCache>
                <c:ptCount val="8"/>
                <c:pt idx="0">
                  <c:v>Solar</c:v>
                </c:pt>
                <c:pt idx="1">
                  <c:v>Wind</c:v>
                </c:pt>
                <c:pt idx="2">
                  <c:v>Hydro</c:v>
                </c:pt>
                <c:pt idx="3">
                  <c:v>Biomass</c:v>
                </c:pt>
                <c:pt idx="4">
                  <c:v>Coal</c:v>
                </c:pt>
                <c:pt idx="5">
                  <c:v>Gas</c:v>
                </c:pt>
                <c:pt idx="6">
                  <c:v>Gas Peaker</c:v>
                </c:pt>
                <c:pt idx="7">
                  <c:v>Nuclear</c:v>
                </c:pt>
              </c:strCache>
            </c:strRef>
          </c:cat>
          <c:val>
            <c:numRef>
              <c:f>Results_Dashboard!$B$12:$B$19</c:f>
              <c:numCache>
                <c:formatCode>#,##0</c:formatCode>
                <c:ptCount val="8"/>
                <c:pt idx="0">
                  <c:v>4600</c:v>
                </c:pt>
                <c:pt idx="1">
                  <c:v>31401.899999999998</c:v>
                </c:pt>
                <c:pt idx="2">
                  <c:v>3392</c:v>
                </c:pt>
                <c:pt idx="3">
                  <c:v>6712</c:v>
                </c:pt>
                <c:pt idx="4">
                  <c:v>11681.619999999999</c:v>
                </c:pt>
                <c:pt idx="5">
                  <c:v>7212.4799999999959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55-4901-8C57-34805EF32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337209395072988"/>
          <c:y val="0.16621476663243182"/>
          <c:w val="0.12345924987351634"/>
          <c:h val="0.6779100532089156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10</xdr:row>
      <xdr:rowOff>25400</xdr:rowOff>
    </xdr:from>
    <xdr:to>
      <xdr:col>12</xdr:col>
      <xdr:colOff>565149</xdr:colOff>
      <xdr:row>21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DBCF74-9617-FD99-1408-0845505EEE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D61B882-02DF-45AC-9712-C6B953FEDB0C}" autoFormatId="16" applyNumberFormats="0" applyBorderFormats="0" applyFontFormats="0" applyPatternFormats="0" applyAlignmentFormats="0" applyWidthHeightFormats="0">
  <queryTableRefresh nextId="11">
    <queryTableFields count="10">
      <queryTableField id="1" name="Plant_ID" tableColumnId="1"/>
      <queryTableField id="2" name="Plant_Name" tableColumnId="2"/>
      <queryTableField id="3" name="Plant_Type" tableColumnId="3"/>
      <queryTableField id="4" name="Technology" tableColumnId="4"/>
      <queryTableField id="5" name="Capacity_MW" tableColumnId="5"/>
      <queryTableField id="6" name="Fuel_Cost_EUR_MWh" tableColumnId="6"/>
      <queryTableField id="7" name="CO2_Emissions_t_MWh" tableColumnId="7"/>
      <queryTableField id="8" name="Fixed_OM_EUR_MW_yr" tableColumnId="8"/>
      <queryTableField id="9" name="Variable_OM_EUR_MWh" tableColumnId="9"/>
      <queryTableField id="10" name="Availability_Percent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B57188-7C70-4C77-BE6F-5B8D165A7126}" name="German_Power_Plant_Database_2024_CORRECTED" displayName="German_Power_Plant_Database_2024_CORRECTED" ref="A1:J41" tableType="queryTable" totalsRowShown="0">
  <autoFilter ref="A1:J41" xr:uid="{69B57188-7C70-4C77-BE6F-5B8D165A7126}"/>
  <tableColumns count="10">
    <tableColumn id="1" xr3:uid="{E816EA4B-0FE0-46F2-9387-38346B41AF16}" uniqueName="1" name="Plant_ID" queryTableFieldId="1"/>
    <tableColumn id="2" xr3:uid="{E136008A-BE1B-4DF7-A4B3-28F794CDC826}" uniqueName="2" name="Plant_Name" queryTableFieldId="2" dataDxfId="9"/>
    <tableColumn id="3" xr3:uid="{1031F038-A29D-4CC5-BD43-21C86B506C4A}" uniqueName="3" name="Plant_Type" queryTableFieldId="3" dataDxfId="8"/>
    <tableColumn id="4" xr3:uid="{4B59B7F9-E1AD-439A-9519-AC67C33CF956}" uniqueName="4" name="Technology" queryTableFieldId="4" dataDxfId="7"/>
    <tableColumn id="5" xr3:uid="{F8D9E781-4173-4B07-BA40-E2F0FC7BB7FF}" uniqueName="5" name="Capacity_MW" queryTableFieldId="5"/>
    <tableColumn id="6" xr3:uid="{7EADA87F-3520-4D29-A73A-8ADAEC7C2B66}" uniqueName="6" name="Fuel_Cost_EUR_MWh" queryTableFieldId="6"/>
    <tableColumn id="7" xr3:uid="{2730E4A9-7D60-4DEF-8938-D2C856FF3B0A}" uniqueName="7" name="CO2_Emissions_t_MWh" queryTableFieldId="7"/>
    <tableColumn id="8" xr3:uid="{9B73EF73-6285-47FF-BA4A-786990A93144}" uniqueName="8" name="Fixed_OM_EUR_MW_yr" queryTableFieldId="8"/>
    <tableColumn id="9" xr3:uid="{536A8567-3D33-4E37-877A-0FAF057F5DFD}" uniqueName="9" name="Variable_OM_EUR_MWh" queryTableFieldId="9"/>
    <tableColumn id="10" xr3:uid="{ACAB8651-9FCE-42B0-96E4-8931E19CFB36}" uniqueName="10" name="Availability_Percent" queryTableField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B2A9E-B100-4072-8EEA-E9DA0441F316}">
  <dimension ref="A1:J41"/>
  <sheetViews>
    <sheetView topLeftCell="A23" workbookViewId="0">
      <selection activeCell="C6" sqref="C6"/>
    </sheetView>
  </sheetViews>
  <sheetFormatPr defaultRowHeight="14.5" x14ac:dyDescent="0.35"/>
  <cols>
    <col min="1" max="1" width="10.08984375" bestFit="1" customWidth="1"/>
    <col min="2" max="2" width="23.7265625" bestFit="1" customWidth="1"/>
    <col min="3" max="3" width="12.26953125" bestFit="1" customWidth="1"/>
    <col min="4" max="4" width="12.54296875" bestFit="1" customWidth="1"/>
    <col min="5" max="5" width="14.453125" bestFit="1" customWidth="1"/>
    <col min="6" max="6" width="20.81640625" bestFit="1" customWidth="1"/>
    <col min="7" max="7" width="22.6328125" bestFit="1" customWidth="1"/>
    <col min="8" max="8" width="21.90625" bestFit="1" customWidth="1"/>
    <col min="9" max="9" width="23" bestFit="1" customWidth="1"/>
    <col min="10" max="10" width="19.9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 t="s">
        <v>43</v>
      </c>
      <c r="C2" t="s">
        <v>10</v>
      </c>
      <c r="D2" t="s">
        <v>11</v>
      </c>
      <c r="E2">
        <v>4400</v>
      </c>
      <c r="F2">
        <v>5</v>
      </c>
      <c r="G2">
        <v>1.1000000000000001</v>
      </c>
      <c r="H2">
        <v>45000</v>
      </c>
      <c r="I2">
        <v>4</v>
      </c>
      <c r="J2">
        <v>85</v>
      </c>
    </row>
    <row r="3" spans="1:10" x14ac:dyDescent="0.35">
      <c r="A3">
        <v>2</v>
      </c>
      <c r="B3" t="s">
        <v>44</v>
      </c>
      <c r="C3" t="s">
        <v>10</v>
      </c>
      <c r="D3" t="s">
        <v>11</v>
      </c>
      <c r="E3">
        <v>3864</v>
      </c>
      <c r="F3">
        <v>5</v>
      </c>
      <c r="G3">
        <v>1.1200000000000001</v>
      </c>
      <c r="H3">
        <v>45000</v>
      </c>
      <c r="I3">
        <v>4</v>
      </c>
      <c r="J3">
        <v>83</v>
      </c>
    </row>
    <row r="4" spans="1:10" x14ac:dyDescent="0.35">
      <c r="A4">
        <v>3</v>
      </c>
      <c r="B4" t="s">
        <v>45</v>
      </c>
      <c r="C4" t="s">
        <v>10</v>
      </c>
      <c r="D4" t="s">
        <v>11</v>
      </c>
      <c r="E4">
        <v>3000</v>
      </c>
      <c r="F4">
        <v>5</v>
      </c>
      <c r="G4">
        <v>1.0900000000000001</v>
      </c>
      <c r="H4">
        <v>45000</v>
      </c>
      <c r="I4">
        <v>4</v>
      </c>
      <c r="J4">
        <v>84</v>
      </c>
    </row>
    <row r="5" spans="1:10" x14ac:dyDescent="0.35">
      <c r="A5">
        <v>4</v>
      </c>
      <c r="B5" t="s">
        <v>46</v>
      </c>
      <c r="C5" t="s">
        <v>10</v>
      </c>
      <c r="D5" t="s">
        <v>11</v>
      </c>
      <c r="E5">
        <v>2575</v>
      </c>
      <c r="F5">
        <v>5</v>
      </c>
      <c r="G5">
        <v>1.1100000000000001</v>
      </c>
      <c r="H5">
        <v>45000</v>
      </c>
      <c r="I5">
        <v>4</v>
      </c>
      <c r="J5">
        <v>86</v>
      </c>
    </row>
    <row r="6" spans="1:10" x14ac:dyDescent="0.35">
      <c r="A6">
        <v>5</v>
      </c>
      <c r="B6" t="s">
        <v>47</v>
      </c>
      <c r="C6" t="s">
        <v>12</v>
      </c>
      <c r="D6" t="s">
        <v>11</v>
      </c>
      <c r="E6">
        <v>4800</v>
      </c>
      <c r="F6">
        <v>38</v>
      </c>
      <c r="G6">
        <v>0.9</v>
      </c>
      <c r="H6">
        <v>40000</v>
      </c>
      <c r="I6">
        <v>3.5</v>
      </c>
      <c r="J6">
        <v>88</v>
      </c>
    </row>
    <row r="7" spans="1:10" x14ac:dyDescent="0.35">
      <c r="A7">
        <v>6</v>
      </c>
      <c r="B7" t="s">
        <v>48</v>
      </c>
      <c r="C7" t="s">
        <v>12</v>
      </c>
      <c r="D7" t="s">
        <v>11</v>
      </c>
      <c r="E7">
        <v>3200</v>
      </c>
      <c r="F7">
        <v>40</v>
      </c>
      <c r="G7">
        <v>0.92</v>
      </c>
      <c r="H7">
        <v>40000</v>
      </c>
      <c r="I7">
        <v>3.5</v>
      </c>
      <c r="J7">
        <v>86</v>
      </c>
    </row>
    <row r="8" spans="1:10" x14ac:dyDescent="0.35">
      <c r="A8">
        <v>7</v>
      </c>
      <c r="B8" t="s">
        <v>49</v>
      </c>
      <c r="C8" t="s">
        <v>12</v>
      </c>
      <c r="D8" t="s">
        <v>11</v>
      </c>
      <c r="E8">
        <v>3500</v>
      </c>
      <c r="F8">
        <v>39</v>
      </c>
      <c r="G8">
        <v>0.91</v>
      </c>
      <c r="H8">
        <v>40000</v>
      </c>
      <c r="I8">
        <v>3.5</v>
      </c>
      <c r="J8">
        <v>87</v>
      </c>
    </row>
    <row r="9" spans="1:10" x14ac:dyDescent="0.35">
      <c r="A9">
        <v>8</v>
      </c>
      <c r="B9" t="s">
        <v>50</v>
      </c>
      <c r="C9" t="s">
        <v>12</v>
      </c>
      <c r="D9" t="s">
        <v>11</v>
      </c>
      <c r="E9">
        <v>3200</v>
      </c>
      <c r="F9">
        <v>37</v>
      </c>
      <c r="G9">
        <v>0.89</v>
      </c>
      <c r="H9">
        <v>40000</v>
      </c>
      <c r="I9">
        <v>3.5</v>
      </c>
      <c r="J9">
        <v>89</v>
      </c>
    </row>
    <row r="10" spans="1:10" x14ac:dyDescent="0.35">
      <c r="A10">
        <v>9</v>
      </c>
      <c r="B10" t="s">
        <v>51</v>
      </c>
      <c r="C10" t="s">
        <v>12</v>
      </c>
      <c r="D10" t="s">
        <v>11</v>
      </c>
      <c r="E10">
        <v>2100</v>
      </c>
      <c r="F10">
        <v>38</v>
      </c>
      <c r="G10">
        <v>0.9</v>
      </c>
      <c r="H10">
        <v>40000</v>
      </c>
      <c r="I10">
        <v>3.5</v>
      </c>
      <c r="J10">
        <v>85</v>
      </c>
    </row>
    <row r="11" spans="1:10" x14ac:dyDescent="0.35">
      <c r="A11">
        <v>10</v>
      </c>
      <c r="B11" t="s">
        <v>52</v>
      </c>
      <c r="C11" t="s">
        <v>12</v>
      </c>
      <c r="D11" t="s">
        <v>11</v>
      </c>
      <c r="E11">
        <v>1200</v>
      </c>
      <c r="F11">
        <v>39</v>
      </c>
      <c r="G11">
        <v>0.91</v>
      </c>
      <c r="H11">
        <v>40000</v>
      </c>
      <c r="I11">
        <v>3.5</v>
      </c>
      <c r="J11">
        <v>86</v>
      </c>
    </row>
    <row r="12" spans="1:10" x14ac:dyDescent="0.35">
      <c r="A12">
        <v>11</v>
      </c>
      <c r="B12" t="s">
        <v>53</v>
      </c>
      <c r="C12" t="s">
        <v>13</v>
      </c>
      <c r="D12" t="s">
        <v>14</v>
      </c>
      <c r="E12">
        <v>3600</v>
      </c>
      <c r="F12">
        <v>70</v>
      </c>
      <c r="G12">
        <v>0.4</v>
      </c>
      <c r="H12">
        <v>25000</v>
      </c>
      <c r="I12">
        <v>2.5</v>
      </c>
      <c r="J12">
        <v>90</v>
      </c>
    </row>
    <row r="13" spans="1:10" x14ac:dyDescent="0.35">
      <c r="A13">
        <v>12</v>
      </c>
      <c r="B13" t="s">
        <v>54</v>
      </c>
      <c r="C13" t="s">
        <v>13</v>
      </c>
      <c r="D13" t="s">
        <v>14</v>
      </c>
      <c r="E13">
        <v>2300</v>
      </c>
      <c r="F13">
        <v>72</v>
      </c>
      <c r="G13">
        <v>0.41</v>
      </c>
      <c r="H13">
        <v>25000</v>
      </c>
      <c r="I13">
        <v>2.5</v>
      </c>
      <c r="J13">
        <v>88</v>
      </c>
    </row>
    <row r="14" spans="1:10" x14ac:dyDescent="0.35">
      <c r="A14">
        <v>13</v>
      </c>
      <c r="B14" t="s">
        <v>55</v>
      </c>
      <c r="C14" t="s">
        <v>13</v>
      </c>
      <c r="D14" t="s">
        <v>14</v>
      </c>
      <c r="E14">
        <v>1900</v>
      </c>
      <c r="F14">
        <v>68</v>
      </c>
      <c r="G14">
        <v>0.39</v>
      </c>
      <c r="H14">
        <v>25000</v>
      </c>
      <c r="I14">
        <v>2.5</v>
      </c>
      <c r="J14">
        <v>91</v>
      </c>
    </row>
    <row r="15" spans="1:10" x14ac:dyDescent="0.35">
      <c r="A15">
        <v>14</v>
      </c>
      <c r="B15" t="s">
        <v>56</v>
      </c>
      <c r="C15" t="s">
        <v>13</v>
      </c>
      <c r="D15" t="s">
        <v>14</v>
      </c>
      <c r="E15">
        <v>1700</v>
      </c>
      <c r="F15">
        <v>71</v>
      </c>
      <c r="G15">
        <v>0.4</v>
      </c>
      <c r="H15">
        <v>25000</v>
      </c>
      <c r="I15">
        <v>2.5</v>
      </c>
      <c r="J15">
        <v>89</v>
      </c>
    </row>
    <row r="16" spans="1:10" x14ac:dyDescent="0.35">
      <c r="A16">
        <v>15</v>
      </c>
      <c r="B16" t="s">
        <v>57</v>
      </c>
      <c r="C16" t="s">
        <v>13</v>
      </c>
      <c r="D16" t="s">
        <v>14</v>
      </c>
      <c r="E16">
        <v>1520</v>
      </c>
      <c r="F16">
        <v>69</v>
      </c>
      <c r="G16">
        <v>0.39</v>
      </c>
      <c r="H16">
        <v>25000</v>
      </c>
      <c r="I16">
        <v>2.5</v>
      </c>
      <c r="J16">
        <v>90</v>
      </c>
    </row>
    <row r="17" spans="1:10" x14ac:dyDescent="0.35">
      <c r="A17">
        <v>16</v>
      </c>
      <c r="B17" t="s">
        <v>58</v>
      </c>
      <c r="C17" t="s">
        <v>13</v>
      </c>
      <c r="D17" t="s">
        <v>14</v>
      </c>
      <c r="E17">
        <v>1200</v>
      </c>
      <c r="F17">
        <v>70</v>
      </c>
      <c r="G17">
        <v>0.4</v>
      </c>
      <c r="H17">
        <v>25000</v>
      </c>
      <c r="I17">
        <v>2.5</v>
      </c>
      <c r="J17">
        <v>89</v>
      </c>
    </row>
    <row r="18" spans="1:10" x14ac:dyDescent="0.35">
      <c r="A18">
        <v>17</v>
      </c>
      <c r="B18" t="s">
        <v>59</v>
      </c>
      <c r="C18" t="s">
        <v>13</v>
      </c>
      <c r="D18" t="s">
        <v>14</v>
      </c>
      <c r="E18">
        <v>800</v>
      </c>
      <c r="F18">
        <v>73</v>
      </c>
      <c r="G18">
        <v>0.41</v>
      </c>
      <c r="H18">
        <v>25000</v>
      </c>
      <c r="I18">
        <v>2.5</v>
      </c>
      <c r="J18">
        <v>87</v>
      </c>
    </row>
    <row r="19" spans="1:10" x14ac:dyDescent="0.35">
      <c r="A19">
        <v>18</v>
      </c>
      <c r="B19" t="s">
        <v>60</v>
      </c>
      <c r="C19" t="s">
        <v>15</v>
      </c>
      <c r="D19" t="s">
        <v>16</v>
      </c>
      <c r="E19">
        <v>1200</v>
      </c>
      <c r="F19">
        <v>95</v>
      </c>
      <c r="G19">
        <v>0.55000000000000004</v>
      </c>
      <c r="H19">
        <v>15000</v>
      </c>
      <c r="I19">
        <v>3</v>
      </c>
      <c r="J19">
        <v>92</v>
      </c>
    </row>
    <row r="20" spans="1:10" x14ac:dyDescent="0.35">
      <c r="A20">
        <v>19</v>
      </c>
      <c r="B20" t="s">
        <v>61</v>
      </c>
      <c r="C20" t="s">
        <v>15</v>
      </c>
      <c r="D20" t="s">
        <v>16</v>
      </c>
      <c r="E20">
        <v>1000</v>
      </c>
      <c r="F20">
        <v>98</v>
      </c>
      <c r="G20">
        <v>0.56999999999999995</v>
      </c>
      <c r="H20">
        <v>15000</v>
      </c>
      <c r="I20">
        <v>3</v>
      </c>
      <c r="J20">
        <v>90</v>
      </c>
    </row>
    <row r="21" spans="1:10" x14ac:dyDescent="0.35">
      <c r="A21">
        <v>20</v>
      </c>
      <c r="B21" t="s">
        <v>62</v>
      </c>
      <c r="C21" t="s">
        <v>15</v>
      </c>
      <c r="D21" t="s">
        <v>16</v>
      </c>
      <c r="E21">
        <v>800</v>
      </c>
      <c r="F21">
        <v>96</v>
      </c>
      <c r="G21">
        <v>0.56000000000000005</v>
      </c>
      <c r="H21">
        <v>15000</v>
      </c>
      <c r="I21">
        <v>3</v>
      </c>
      <c r="J21">
        <v>91</v>
      </c>
    </row>
    <row r="22" spans="1:10" x14ac:dyDescent="0.35">
      <c r="A22">
        <v>21</v>
      </c>
      <c r="B22" t="s">
        <v>63</v>
      </c>
      <c r="C22" t="s">
        <v>15</v>
      </c>
      <c r="D22" t="s">
        <v>16</v>
      </c>
      <c r="E22">
        <v>1500</v>
      </c>
      <c r="F22">
        <v>100</v>
      </c>
      <c r="G22">
        <v>0.57999999999999996</v>
      </c>
      <c r="H22">
        <v>15000</v>
      </c>
      <c r="I22">
        <v>3</v>
      </c>
      <c r="J22">
        <v>93</v>
      </c>
    </row>
    <row r="23" spans="1:10" x14ac:dyDescent="0.35">
      <c r="A23">
        <v>22</v>
      </c>
      <c r="B23" t="s">
        <v>64</v>
      </c>
      <c r="C23" t="s">
        <v>17</v>
      </c>
      <c r="D23" t="s">
        <v>18</v>
      </c>
      <c r="E23">
        <v>18750</v>
      </c>
      <c r="F23">
        <v>0</v>
      </c>
      <c r="G23">
        <v>0</v>
      </c>
      <c r="H23">
        <v>35000</v>
      </c>
      <c r="I23">
        <v>0.5</v>
      </c>
      <c r="J23">
        <v>35</v>
      </c>
    </row>
    <row r="24" spans="1:10" x14ac:dyDescent="0.35">
      <c r="A24">
        <v>23</v>
      </c>
      <c r="B24" t="s">
        <v>65</v>
      </c>
      <c r="C24" t="s">
        <v>17</v>
      </c>
      <c r="D24" t="s">
        <v>18</v>
      </c>
      <c r="E24">
        <v>15625</v>
      </c>
      <c r="F24">
        <v>0</v>
      </c>
      <c r="G24">
        <v>0</v>
      </c>
      <c r="H24">
        <v>35000</v>
      </c>
      <c r="I24">
        <v>0.5</v>
      </c>
      <c r="J24">
        <v>33</v>
      </c>
    </row>
    <row r="25" spans="1:10" x14ac:dyDescent="0.35">
      <c r="A25">
        <v>24</v>
      </c>
      <c r="B25" t="s">
        <v>66</v>
      </c>
      <c r="C25" t="s">
        <v>17</v>
      </c>
      <c r="D25" t="s">
        <v>18</v>
      </c>
      <c r="E25">
        <v>12500</v>
      </c>
      <c r="F25">
        <v>0</v>
      </c>
      <c r="G25">
        <v>0</v>
      </c>
      <c r="H25">
        <v>35000</v>
      </c>
      <c r="I25">
        <v>0.5</v>
      </c>
      <c r="J25">
        <v>32</v>
      </c>
    </row>
    <row r="26" spans="1:10" x14ac:dyDescent="0.35">
      <c r="A26">
        <v>25</v>
      </c>
      <c r="B26" t="s">
        <v>67</v>
      </c>
      <c r="C26" t="s">
        <v>17</v>
      </c>
      <c r="D26" t="s">
        <v>18</v>
      </c>
      <c r="E26">
        <v>14375</v>
      </c>
      <c r="F26">
        <v>0</v>
      </c>
      <c r="G26">
        <v>0</v>
      </c>
      <c r="H26">
        <v>35000</v>
      </c>
      <c r="I26">
        <v>0.5</v>
      </c>
      <c r="J26">
        <v>34</v>
      </c>
    </row>
    <row r="27" spans="1:10" x14ac:dyDescent="0.35">
      <c r="A27">
        <v>26</v>
      </c>
      <c r="B27" t="s">
        <v>68</v>
      </c>
      <c r="C27" t="s">
        <v>19</v>
      </c>
      <c r="D27" t="s">
        <v>18</v>
      </c>
      <c r="E27">
        <v>2592</v>
      </c>
      <c r="F27">
        <v>0</v>
      </c>
      <c r="G27">
        <v>0</v>
      </c>
      <c r="H27">
        <v>75000</v>
      </c>
      <c r="I27">
        <v>1</v>
      </c>
      <c r="J27">
        <v>45</v>
      </c>
    </row>
    <row r="28" spans="1:10" x14ac:dyDescent="0.35">
      <c r="A28">
        <v>27</v>
      </c>
      <c r="B28" t="s">
        <v>69</v>
      </c>
      <c r="C28" t="s">
        <v>19</v>
      </c>
      <c r="D28" t="s">
        <v>18</v>
      </c>
      <c r="E28">
        <v>2268</v>
      </c>
      <c r="F28">
        <v>0</v>
      </c>
      <c r="G28">
        <v>0</v>
      </c>
      <c r="H28">
        <v>75000</v>
      </c>
      <c r="I28">
        <v>1</v>
      </c>
      <c r="J28">
        <v>43</v>
      </c>
    </row>
    <row r="29" spans="1:10" x14ac:dyDescent="0.35">
      <c r="A29">
        <v>28</v>
      </c>
      <c r="B29" t="s">
        <v>70</v>
      </c>
      <c r="C29" t="s">
        <v>19</v>
      </c>
      <c r="D29" t="s">
        <v>18</v>
      </c>
      <c r="E29">
        <v>1944</v>
      </c>
      <c r="F29">
        <v>0</v>
      </c>
      <c r="G29">
        <v>0</v>
      </c>
      <c r="H29">
        <v>75000</v>
      </c>
      <c r="I29">
        <v>1</v>
      </c>
      <c r="J29">
        <v>44</v>
      </c>
    </row>
    <row r="30" spans="1:10" x14ac:dyDescent="0.35">
      <c r="A30">
        <v>29</v>
      </c>
      <c r="B30" t="s">
        <v>71</v>
      </c>
      <c r="C30" t="s">
        <v>19</v>
      </c>
      <c r="D30" t="s">
        <v>18</v>
      </c>
      <c r="E30">
        <v>1728</v>
      </c>
      <c r="F30">
        <v>0</v>
      </c>
      <c r="G30">
        <v>0</v>
      </c>
      <c r="H30">
        <v>75000</v>
      </c>
      <c r="I30">
        <v>1</v>
      </c>
      <c r="J30">
        <v>42</v>
      </c>
    </row>
    <row r="31" spans="1:10" x14ac:dyDescent="0.35">
      <c r="A31">
        <v>30</v>
      </c>
      <c r="B31" t="s">
        <v>72</v>
      </c>
      <c r="C31" t="s">
        <v>20</v>
      </c>
      <c r="D31" t="s">
        <v>21</v>
      </c>
      <c r="E31">
        <v>22400</v>
      </c>
      <c r="F31">
        <v>0</v>
      </c>
      <c r="G31">
        <v>0</v>
      </c>
      <c r="H31">
        <v>25000</v>
      </c>
      <c r="I31">
        <v>0.2</v>
      </c>
      <c r="J31">
        <v>18</v>
      </c>
    </row>
    <row r="32" spans="1:10" x14ac:dyDescent="0.35">
      <c r="A32">
        <v>31</v>
      </c>
      <c r="B32" t="s">
        <v>73</v>
      </c>
      <c r="C32" t="s">
        <v>20</v>
      </c>
      <c r="D32" t="s">
        <v>21</v>
      </c>
      <c r="E32">
        <v>20000</v>
      </c>
      <c r="F32">
        <v>0</v>
      </c>
      <c r="G32">
        <v>0</v>
      </c>
      <c r="H32">
        <v>25000</v>
      </c>
      <c r="I32">
        <v>0.2</v>
      </c>
      <c r="J32">
        <v>17</v>
      </c>
    </row>
    <row r="33" spans="1:10" x14ac:dyDescent="0.35">
      <c r="A33">
        <v>32</v>
      </c>
      <c r="B33" t="s">
        <v>74</v>
      </c>
      <c r="C33" t="s">
        <v>20</v>
      </c>
      <c r="D33" t="s">
        <v>21</v>
      </c>
      <c r="E33">
        <v>17600</v>
      </c>
      <c r="F33">
        <v>0</v>
      </c>
      <c r="G33">
        <v>0</v>
      </c>
      <c r="H33">
        <v>25000</v>
      </c>
      <c r="I33">
        <v>0.2</v>
      </c>
      <c r="J33">
        <v>16</v>
      </c>
    </row>
    <row r="34" spans="1:10" x14ac:dyDescent="0.35">
      <c r="A34">
        <v>33</v>
      </c>
      <c r="B34" t="s">
        <v>75</v>
      </c>
      <c r="C34" t="s">
        <v>20</v>
      </c>
      <c r="D34" t="s">
        <v>21</v>
      </c>
      <c r="E34">
        <v>16800</v>
      </c>
      <c r="F34">
        <v>0</v>
      </c>
      <c r="G34">
        <v>0</v>
      </c>
      <c r="H34">
        <v>25000</v>
      </c>
      <c r="I34">
        <v>0.2</v>
      </c>
      <c r="J34">
        <v>17</v>
      </c>
    </row>
    <row r="35" spans="1:10" x14ac:dyDescent="0.35">
      <c r="A35">
        <v>34</v>
      </c>
      <c r="B35" t="s">
        <v>76</v>
      </c>
      <c r="C35" t="s">
        <v>20</v>
      </c>
      <c r="D35" t="s">
        <v>21</v>
      </c>
      <c r="E35">
        <v>15200</v>
      </c>
      <c r="F35">
        <v>0</v>
      </c>
      <c r="G35">
        <v>0</v>
      </c>
      <c r="H35">
        <v>25000</v>
      </c>
      <c r="I35">
        <v>0.2</v>
      </c>
      <c r="J35">
        <v>15</v>
      </c>
    </row>
    <row r="36" spans="1:10" x14ac:dyDescent="0.35">
      <c r="A36">
        <v>35</v>
      </c>
      <c r="B36" t="s">
        <v>77</v>
      </c>
      <c r="C36" t="s">
        <v>22</v>
      </c>
      <c r="D36" t="s">
        <v>22</v>
      </c>
      <c r="E36">
        <v>2800</v>
      </c>
      <c r="F36">
        <v>5</v>
      </c>
      <c r="G36">
        <v>0</v>
      </c>
      <c r="H36">
        <v>20000</v>
      </c>
      <c r="I36">
        <v>0.5</v>
      </c>
      <c r="J36">
        <v>50</v>
      </c>
    </row>
    <row r="37" spans="1:10" x14ac:dyDescent="0.35">
      <c r="A37">
        <v>36</v>
      </c>
      <c r="B37" t="s">
        <v>78</v>
      </c>
      <c r="C37" t="s">
        <v>22</v>
      </c>
      <c r="D37" t="s">
        <v>22</v>
      </c>
      <c r="E37">
        <v>2200</v>
      </c>
      <c r="F37">
        <v>6</v>
      </c>
      <c r="G37">
        <v>0</v>
      </c>
      <c r="H37">
        <v>20000</v>
      </c>
      <c r="I37">
        <v>0.5</v>
      </c>
      <c r="J37">
        <v>48</v>
      </c>
    </row>
    <row r="38" spans="1:10" x14ac:dyDescent="0.35">
      <c r="A38">
        <v>37</v>
      </c>
      <c r="B38" t="s">
        <v>79</v>
      </c>
      <c r="C38" t="s">
        <v>22</v>
      </c>
      <c r="D38" t="s">
        <v>22</v>
      </c>
      <c r="E38">
        <v>1800</v>
      </c>
      <c r="F38">
        <v>4</v>
      </c>
      <c r="G38">
        <v>0</v>
      </c>
      <c r="H38">
        <v>20000</v>
      </c>
      <c r="I38">
        <v>0.5</v>
      </c>
      <c r="J38">
        <v>52</v>
      </c>
    </row>
    <row r="39" spans="1:10" x14ac:dyDescent="0.35">
      <c r="A39">
        <v>38</v>
      </c>
      <c r="B39" t="s">
        <v>80</v>
      </c>
      <c r="C39" t="s">
        <v>23</v>
      </c>
      <c r="D39" t="s">
        <v>23</v>
      </c>
      <c r="E39">
        <v>3200</v>
      </c>
      <c r="F39">
        <v>50</v>
      </c>
      <c r="G39">
        <v>0.1</v>
      </c>
      <c r="H39">
        <v>60000</v>
      </c>
      <c r="I39">
        <v>4.5</v>
      </c>
      <c r="J39">
        <v>80</v>
      </c>
    </row>
    <row r="40" spans="1:10" x14ac:dyDescent="0.35">
      <c r="A40">
        <v>39</v>
      </c>
      <c r="B40" t="s">
        <v>81</v>
      </c>
      <c r="C40" t="s">
        <v>23</v>
      </c>
      <c r="D40" t="s">
        <v>23</v>
      </c>
      <c r="E40">
        <v>2800</v>
      </c>
      <c r="F40">
        <v>52</v>
      </c>
      <c r="G40">
        <v>0.12</v>
      </c>
      <c r="H40">
        <v>60000</v>
      </c>
      <c r="I40">
        <v>4.5</v>
      </c>
      <c r="J40">
        <v>78</v>
      </c>
    </row>
    <row r="41" spans="1:10" x14ac:dyDescent="0.35">
      <c r="A41">
        <v>40</v>
      </c>
      <c r="B41" t="s">
        <v>82</v>
      </c>
      <c r="C41" t="s">
        <v>23</v>
      </c>
      <c r="D41" t="s">
        <v>23</v>
      </c>
      <c r="E41">
        <v>2400</v>
      </c>
      <c r="F41">
        <v>48</v>
      </c>
      <c r="G41">
        <v>0.08</v>
      </c>
      <c r="H41">
        <v>60000</v>
      </c>
      <c r="I41">
        <v>4.5</v>
      </c>
      <c r="J41">
        <v>82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D3184-CEDC-4F40-87ED-AC2E58F61AB8}">
  <dimension ref="A1:H11"/>
  <sheetViews>
    <sheetView workbookViewId="0">
      <selection activeCell="H8" sqref="H8"/>
    </sheetView>
  </sheetViews>
  <sheetFormatPr defaultRowHeight="14.5" x14ac:dyDescent="0.35"/>
  <cols>
    <col min="1" max="1" width="19.26953125" bestFit="1" customWidth="1"/>
    <col min="2" max="2" width="13.81640625" bestFit="1" customWidth="1"/>
    <col min="3" max="3" width="21.81640625" bestFit="1" customWidth="1"/>
    <col min="4" max="5" width="24.08984375" bestFit="1" customWidth="1"/>
    <col min="6" max="6" width="12.81640625" bestFit="1" customWidth="1"/>
    <col min="7" max="7" width="9" bestFit="1" customWidth="1"/>
    <col min="8" max="8" width="39.08984375" bestFit="1" customWidth="1"/>
  </cols>
  <sheetData>
    <row r="1" spans="1:8" x14ac:dyDescent="0.35">
      <c r="A1" s="8" t="s">
        <v>96</v>
      </c>
      <c r="B1" s="8" t="s">
        <v>97</v>
      </c>
      <c r="C1" s="8" t="s">
        <v>98</v>
      </c>
      <c r="D1" s="8" t="s">
        <v>99</v>
      </c>
      <c r="E1" s="8" t="s">
        <v>100</v>
      </c>
      <c r="F1" s="8" t="s">
        <v>101</v>
      </c>
      <c r="G1" s="8" t="s">
        <v>102</v>
      </c>
      <c r="H1" s="8" t="s">
        <v>130</v>
      </c>
    </row>
    <row r="2" spans="1:8" x14ac:dyDescent="0.35">
      <c r="A2" s="7" t="s">
        <v>103</v>
      </c>
      <c r="B2" s="7">
        <v>45000</v>
      </c>
      <c r="C2" s="7">
        <v>80</v>
      </c>
      <c r="D2" s="7">
        <v>35</v>
      </c>
      <c r="E2" s="7">
        <v>25</v>
      </c>
      <c r="F2" s="7" t="s">
        <v>104</v>
      </c>
      <c r="G2" s="7" t="s">
        <v>30</v>
      </c>
      <c r="H2" s="7" t="s">
        <v>120</v>
      </c>
    </row>
    <row r="3" spans="1:8" x14ac:dyDescent="0.35">
      <c r="A3" s="7" t="s">
        <v>105</v>
      </c>
      <c r="B3" s="7">
        <v>65000</v>
      </c>
      <c r="C3" s="7">
        <v>80</v>
      </c>
      <c r="D3" s="7">
        <v>45</v>
      </c>
      <c r="E3" s="7">
        <v>5</v>
      </c>
      <c r="F3" s="7" t="s">
        <v>95</v>
      </c>
      <c r="G3" s="7" t="s">
        <v>106</v>
      </c>
      <c r="H3" s="7" t="s">
        <v>121</v>
      </c>
    </row>
    <row r="4" spans="1:8" x14ac:dyDescent="0.35">
      <c r="A4" s="7" t="s">
        <v>107</v>
      </c>
      <c r="B4" s="7">
        <v>35000</v>
      </c>
      <c r="C4" s="7">
        <v>80</v>
      </c>
      <c r="D4" s="7">
        <v>40</v>
      </c>
      <c r="E4" s="7">
        <v>20</v>
      </c>
      <c r="F4" s="7" t="s">
        <v>108</v>
      </c>
      <c r="G4" s="7" t="s">
        <v>109</v>
      </c>
      <c r="H4" s="7" t="s">
        <v>122</v>
      </c>
    </row>
    <row r="5" spans="1:8" x14ac:dyDescent="0.35">
      <c r="A5" s="7" t="s">
        <v>110</v>
      </c>
      <c r="B5" s="7">
        <v>48000</v>
      </c>
      <c r="C5" s="7">
        <v>80</v>
      </c>
      <c r="D5" s="7">
        <v>65</v>
      </c>
      <c r="E5" s="7">
        <v>15</v>
      </c>
      <c r="F5" s="7" t="s">
        <v>104</v>
      </c>
      <c r="G5" s="7" t="s">
        <v>111</v>
      </c>
      <c r="H5" s="7" t="s">
        <v>123</v>
      </c>
    </row>
    <row r="6" spans="1:8" x14ac:dyDescent="0.35">
      <c r="A6" s="7" t="s">
        <v>112</v>
      </c>
      <c r="B6" s="7">
        <v>52000</v>
      </c>
      <c r="C6" s="7">
        <v>80</v>
      </c>
      <c r="D6" s="7">
        <v>15</v>
      </c>
      <c r="E6" s="7">
        <v>8</v>
      </c>
      <c r="F6" s="7" t="s">
        <v>95</v>
      </c>
      <c r="G6" s="7" t="s">
        <v>106</v>
      </c>
      <c r="H6" s="7" t="s">
        <v>124</v>
      </c>
    </row>
    <row r="7" spans="1:8" x14ac:dyDescent="0.35">
      <c r="A7" s="7" t="s">
        <v>113</v>
      </c>
      <c r="B7" s="7">
        <v>42000</v>
      </c>
      <c r="C7" s="7">
        <v>80</v>
      </c>
      <c r="D7" s="7">
        <v>30</v>
      </c>
      <c r="E7" s="7">
        <v>40</v>
      </c>
      <c r="F7" s="7" t="s">
        <v>95</v>
      </c>
      <c r="G7" s="7" t="s">
        <v>30</v>
      </c>
      <c r="H7" s="7" t="s">
        <v>125</v>
      </c>
    </row>
    <row r="8" spans="1:8" x14ac:dyDescent="0.35">
      <c r="A8" s="7" t="s">
        <v>114</v>
      </c>
      <c r="B8" s="7">
        <v>48000</v>
      </c>
      <c r="C8" s="7">
        <v>40</v>
      </c>
      <c r="D8" s="7">
        <v>35</v>
      </c>
      <c r="E8" s="7">
        <v>20</v>
      </c>
      <c r="F8" s="7" t="s">
        <v>104</v>
      </c>
      <c r="G8" s="7" t="s">
        <v>109</v>
      </c>
      <c r="H8" s="7" t="s">
        <v>126</v>
      </c>
    </row>
    <row r="9" spans="1:8" x14ac:dyDescent="0.35">
      <c r="A9" s="7" t="s">
        <v>115</v>
      </c>
      <c r="B9" s="7">
        <v>48000</v>
      </c>
      <c r="C9" s="7">
        <v>120</v>
      </c>
      <c r="D9" s="7">
        <v>35</v>
      </c>
      <c r="E9" s="7">
        <v>20</v>
      </c>
      <c r="F9" s="7" t="s">
        <v>104</v>
      </c>
      <c r="G9" s="7" t="s">
        <v>109</v>
      </c>
      <c r="H9" s="7" t="s">
        <v>127</v>
      </c>
    </row>
    <row r="10" spans="1:8" x14ac:dyDescent="0.35">
      <c r="A10" s="7" t="s">
        <v>116</v>
      </c>
      <c r="B10" s="7">
        <v>70000</v>
      </c>
      <c r="C10" s="7">
        <v>80</v>
      </c>
      <c r="D10" s="7">
        <v>25</v>
      </c>
      <c r="E10" s="7">
        <v>3</v>
      </c>
      <c r="F10" s="7" t="s">
        <v>95</v>
      </c>
      <c r="G10" s="7" t="s">
        <v>106</v>
      </c>
      <c r="H10" s="7" t="s">
        <v>128</v>
      </c>
    </row>
    <row r="11" spans="1:8" x14ac:dyDescent="0.35">
      <c r="A11" s="7" t="s">
        <v>117</v>
      </c>
      <c r="B11" s="7">
        <v>30000</v>
      </c>
      <c r="C11" s="7">
        <v>80</v>
      </c>
      <c r="D11" s="7">
        <v>50</v>
      </c>
      <c r="E11" s="7">
        <v>30</v>
      </c>
      <c r="F11" s="7" t="s">
        <v>108</v>
      </c>
      <c r="G11" s="7" t="s">
        <v>30</v>
      </c>
      <c r="H11" s="7" t="s">
        <v>129</v>
      </c>
    </row>
  </sheetData>
  <autoFilter ref="A1:H11" xr:uid="{DAED3184-CEDC-4F40-87ED-AC2E58F61AB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715FC-B90B-4DDF-8BEE-BD478776222F}">
  <dimension ref="A1:B22"/>
  <sheetViews>
    <sheetView showGridLines="0" topLeftCell="A2" workbookViewId="0">
      <selection activeCell="B3" sqref="B3"/>
    </sheetView>
  </sheetViews>
  <sheetFormatPr defaultRowHeight="14.5" x14ac:dyDescent="0.35"/>
  <cols>
    <col min="1" max="1" width="26.7265625" customWidth="1"/>
    <col min="2" max="2" width="26.36328125" customWidth="1"/>
  </cols>
  <sheetData>
    <row r="1" spans="1:2" ht="27" customHeight="1" x14ac:dyDescent="0.35">
      <c r="A1" s="11" t="s">
        <v>36</v>
      </c>
      <c r="B1" s="12"/>
    </row>
    <row r="2" spans="1:2" ht="27" customHeight="1" thickBot="1" x14ac:dyDescent="0.4">
      <c r="A2" s="13" t="s">
        <v>118</v>
      </c>
      <c r="B2" s="14"/>
    </row>
    <row r="3" spans="1:2" ht="15" thickBot="1" x14ac:dyDescent="0.4">
      <c r="A3" s="2" t="s">
        <v>119</v>
      </c>
      <c r="B3" s="6" t="s">
        <v>105</v>
      </c>
    </row>
    <row r="4" spans="1:2" x14ac:dyDescent="0.35">
      <c r="A4" s="2"/>
      <c r="B4" s="3"/>
    </row>
    <row r="5" spans="1:2" ht="15" thickBot="1" x14ac:dyDescent="0.4">
      <c r="A5" s="13" t="s">
        <v>24</v>
      </c>
      <c r="B5" s="14"/>
    </row>
    <row r="6" spans="1:2" ht="15" thickBot="1" x14ac:dyDescent="0.4">
      <c r="A6" s="2" t="s">
        <v>27</v>
      </c>
      <c r="B6" s="6">
        <f>_xlfn.XLOOKUP($B$3,Market_Scenarios!$A$2:$A$11,Market_Scenarios!$B$2:$B$11,"Not Found",0)</f>
        <v>65000</v>
      </c>
    </row>
    <row r="7" spans="1:2" ht="15" thickBot="1" x14ac:dyDescent="0.4">
      <c r="A7" s="2" t="s">
        <v>28</v>
      </c>
      <c r="B7" s="6" t="str">
        <f>_xlfn.XLOOKUP($B$3,Market_Scenarios!$A$2:$A$11,Market_Scenarios!$F$2:$F$11,"Not Found",0)</f>
        <v>Peak</v>
      </c>
    </row>
    <row r="8" spans="1:2" ht="15" thickBot="1" x14ac:dyDescent="0.4">
      <c r="A8" s="2" t="s">
        <v>29</v>
      </c>
      <c r="B8" s="6" t="str">
        <f>_xlfn.XLOOKUP($B$3,Market_Scenarios!$A$2:$A$11,Market_Scenarios!$G$2:$G$11,"Not Found",0)</f>
        <v>Winter</v>
      </c>
    </row>
    <row r="9" spans="1:2" x14ac:dyDescent="0.35">
      <c r="A9" s="2"/>
      <c r="B9" s="3"/>
    </row>
    <row r="10" spans="1:2" ht="15" thickBot="1" x14ac:dyDescent="0.4">
      <c r="A10" s="13" t="s">
        <v>25</v>
      </c>
      <c r="B10" s="14"/>
    </row>
    <row r="11" spans="1:2" ht="15" thickBot="1" x14ac:dyDescent="0.4">
      <c r="A11" s="2" t="s">
        <v>32</v>
      </c>
      <c r="B11" s="1">
        <f>_xlfn.XLOOKUP($B$3,Market_Scenarios!$A$2:$A$11,Market_Scenarios!$C$2:$C$11,"Not Found",0)</f>
        <v>80</v>
      </c>
    </row>
    <row r="12" spans="1:2" ht="15" thickBot="1" x14ac:dyDescent="0.4">
      <c r="A12" s="2" t="s">
        <v>31</v>
      </c>
      <c r="B12" s="1">
        <v>1</v>
      </c>
    </row>
    <row r="13" spans="1:2" ht="15" thickBot="1" x14ac:dyDescent="0.4">
      <c r="A13" s="2" t="s">
        <v>33</v>
      </c>
      <c r="B13" s="1">
        <v>1</v>
      </c>
    </row>
    <row r="14" spans="1:2" x14ac:dyDescent="0.35">
      <c r="A14" s="2"/>
      <c r="B14" s="3"/>
    </row>
    <row r="15" spans="1:2" ht="15" thickBot="1" x14ac:dyDescent="0.4">
      <c r="A15" s="13" t="s">
        <v>26</v>
      </c>
      <c r="B15" s="14"/>
    </row>
    <row r="16" spans="1:2" ht="15" thickBot="1" x14ac:dyDescent="0.4">
      <c r="A16" s="2" t="s">
        <v>34</v>
      </c>
      <c r="B16" s="1">
        <f>_xlfn.XLOOKUP($B$3,Market_Scenarios!$A$2:$A$11,Market_Scenarios!$D$2:$D$11,"Not Found",0)</f>
        <v>45</v>
      </c>
    </row>
    <row r="17" spans="1:2" ht="15" thickBot="1" x14ac:dyDescent="0.4">
      <c r="A17" s="2" t="s">
        <v>35</v>
      </c>
      <c r="B17" s="1">
        <f>_xlfn.XLOOKUP($B$3,Market_Scenarios!$A$2:$A$11,Market_Scenarios!$E$2:$E$11,"Not Found",0)</f>
        <v>5</v>
      </c>
    </row>
    <row r="18" spans="1:2" x14ac:dyDescent="0.35">
      <c r="A18" s="2"/>
      <c r="B18" s="3"/>
    </row>
    <row r="19" spans="1:2" x14ac:dyDescent="0.35">
      <c r="A19" s="13" t="s">
        <v>131</v>
      </c>
      <c r="B19" s="14"/>
    </row>
    <row r="20" spans="1:2" x14ac:dyDescent="0.35">
      <c r="A20" s="9" t="str">
        <f>_xlfn.XLOOKUP($B$3,Market_Scenarios!$A$2:$A$11,Market_Scenarios!$H$2:$H$11,"Select a scenario",0)</f>
        <v>Cold winter evening with high heating load</v>
      </c>
      <c r="B20" s="10"/>
    </row>
    <row r="21" spans="1:2" x14ac:dyDescent="0.35">
      <c r="A21" s="2"/>
      <c r="B21" s="3"/>
    </row>
    <row r="22" spans="1:2" ht="15" thickBot="1" x14ac:dyDescent="0.4">
      <c r="A22" s="4"/>
      <c r="B22" s="5"/>
    </row>
  </sheetData>
  <mergeCells count="7">
    <mergeCell ref="A20:B20"/>
    <mergeCell ref="A1:B1"/>
    <mergeCell ref="A5:B5"/>
    <mergeCell ref="A10:B10"/>
    <mergeCell ref="A15:B15"/>
    <mergeCell ref="A19:B19"/>
    <mergeCell ref="A2:B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69D5957-119A-47A8-91E1-262AECDC7F95}">
          <x14:formula1>
            <xm:f>Market_Scenarios!$A$2:$A$11</xm:f>
          </x14:formula1>
          <xm:sqref>B3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33E5A-C1C1-492A-B6B8-9FB151E00E92}">
  <dimension ref="A1:S41"/>
  <sheetViews>
    <sheetView topLeftCell="O1" workbookViewId="0">
      <selection activeCell="S1" sqref="S1"/>
    </sheetView>
  </sheetViews>
  <sheetFormatPr defaultRowHeight="14.5" x14ac:dyDescent="0.35"/>
  <cols>
    <col min="1" max="1" width="23.7265625" bestFit="1" customWidth="1"/>
    <col min="2" max="2" width="12.1796875" bestFit="1" customWidth="1"/>
    <col min="3" max="3" width="14.1796875" bestFit="1" customWidth="1"/>
    <col min="4" max="4" width="14.08984375" bestFit="1" customWidth="1"/>
    <col min="5" max="5" width="22.453125" bestFit="1" customWidth="1"/>
    <col min="6" max="6" width="11.1796875" bestFit="1" customWidth="1"/>
    <col min="7" max="7" width="15.81640625" bestFit="1" customWidth="1"/>
    <col min="8" max="8" width="14" bestFit="1" customWidth="1"/>
    <col min="9" max="9" width="13.6328125" bestFit="1" customWidth="1"/>
    <col min="10" max="10" width="13.36328125" bestFit="1" customWidth="1"/>
    <col min="11" max="11" width="29.08984375" bestFit="1" customWidth="1"/>
    <col min="12" max="12" width="20.453125" bestFit="1" customWidth="1"/>
    <col min="13" max="13" width="9.90625" bestFit="1" customWidth="1"/>
    <col min="14" max="14" width="20" bestFit="1" customWidth="1"/>
    <col min="15" max="15" width="16.08984375" bestFit="1" customWidth="1"/>
    <col min="16" max="16" width="10.81640625" bestFit="1" customWidth="1"/>
    <col min="17" max="17" width="18.36328125" bestFit="1" customWidth="1"/>
    <col min="18" max="18" width="13.6328125" bestFit="1" customWidth="1"/>
    <col min="19" max="19" width="13.36328125" bestFit="1" customWidth="1"/>
  </cols>
  <sheetData>
    <row r="1" spans="1:19" x14ac:dyDescent="0.35">
      <c r="A1" s="7" t="s">
        <v>1</v>
      </c>
      <c r="B1" s="7" t="s">
        <v>3</v>
      </c>
      <c r="C1" s="7" t="s">
        <v>4</v>
      </c>
      <c r="D1" s="7" t="s">
        <v>37</v>
      </c>
      <c r="E1" s="7" t="s">
        <v>38</v>
      </c>
      <c r="F1" s="7" t="s">
        <v>83</v>
      </c>
      <c r="G1" s="7" t="s">
        <v>84</v>
      </c>
      <c r="H1" s="7" t="s">
        <v>42</v>
      </c>
      <c r="I1" s="7" t="s">
        <v>85</v>
      </c>
      <c r="J1" s="7" t="s">
        <v>39</v>
      </c>
      <c r="K1" s="7" t="s">
        <v>88</v>
      </c>
      <c r="L1" s="7" t="s">
        <v>86</v>
      </c>
      <c r="M1" s="7" t="s">
        <v>40</v>
      </c>
      <c r="N1" s="7" t="s">
        <v>87</v>
      </c>
      <c r="O1" s="7" t="s">
        <v>41</v>
      </c>
      <c r="P1" s="7" t="s">
        <v>89</v>
      </c>
      <c r="Q1" s="7" t="s">
        <v>90</v>
      </c>
      <c r="R1" s="7" t="s">
        <v>91</v>
      </c>
      <c r="S1" s="7" t="s">
        <v>92</v>
      </c>
    </row>
    <row r="2" spans="1:19" x14ac:dyDescent="0.35">
      <c r="A2" s="7" t="str">
        <f>Plant_Database!B2</f>
        <v>Lignite_Neurath</v>
      </c>
      <c r="B2" s="7" t="str">
        <f>Plant_Database!D2</f>
        <v>Coal</v>
      </c>
      <c r="C2" s="7">
        <f>Plant_Database!E2</f>
        <v>4400</v>
      </c>
      <c r="D2" s="7">
        <f>IF(OR(B2="Wind"),Input_Parameters!$B$16,IF(B2="Solar",Input_Parameters!$B$17,Plant_Database!J2))</f>
        <v>85</v>
      </c>
      <c r="E2" s="7">
        <f>C2*(D2/100)</f>
        <v>3740</v>
      </c>
      <c r="F2" s="7">
        <f>Plant_Database!F2*IF(B2="Gas",Input_Parameters!$B$12,IF(B2="Coal",Input_Parameters!$B$13,1))</f>
        <v>5</v>
      </c>
      <c r="G2" s="7">
        <f>Plant_Database!G2</f>
        <v>1.1000000000000001</v>
      </c>
      <c r="H2" s="7">
        <f>Input_Parameters!$B$11</f>
        <v>80</v>
      </c>
      <c r="I2" s="7">
        <f>G2*H2</f>
        <v>88</v>
      </c>
      <c r="J2" s="7">
        <f>Plant_Database!I2</f>
        <v>4</v>
      </c>
      <c r="K2" s="7">
        <f>F2+I2+J2</f>
        <v>97</v>
      </c>
      <c r="L2" s="7">
        <f>SUM($E$2:E2)</f>
        <v>3740</v>
      </c>
      <c r="M2" s="7">
        <f>Input_Parameters!$B$6</f>
        <v>65000</v>
      </c>
      <c r="N2" s="7" t="str">
        <f>IF(L2 - E2 &lt; $M$2, "Yes", "No")</f>
        <v>Yes</v>
      </c>
      <c r="O2" s="7">
        <f>IF(N2="Yes", MIN(E2, $M$2 - (L2 - E2)), 0)</f>
        <v>3740</v>
      </c>
      <c r="P2" s="7">
        <f>O2 * _xlfn.MAXIFS($K$2:$K$100, $N$2:$N$100, "Yes")</f>
        <v>558756</v>
      </c>
      <c r="Q2" s="7">
        <f>O2 * K2</f>
        <v>362780</v>
      </c>
      <c r="R2" s="7">
        <f>P2 - Q2</f>
        <v>195976</v>
      </c>
      <c r="S2" s="7">
        <f>O2 * G2</f>
        <v>4114</v>
      </c>
    </row>
    <row r="3" spans="1:19" x14ac:dyDescent="0.35">
      <c r="A3" s="7" t="str">
        <f>Plant_Database!B3</f>
        <v>Lignite_Niederaussem</v>
      </c>
      <c r="B3" s="7" t="str">
        <f>Plant_Database!D3</f>
        <v>Coal</v>
      </c>
      <c r="C3" s="7">
        <f>Plant_Database!E3</f>
        <v>3864</v>
      </c>
      <c r="D3" s="7">
        <f>IF(OR(B3="Wind"),Input_Parameters!$B$16,IF(B3="Solar",Input_Parameters!$B$17,Plant_Database!J3))</f>
        <v>83</v>
      </c>
      <c r="E3" s="7">
        <f t="shared" ref="E3:E41" si="0">C3*(D3/100)</f>
        <v>3207.12</v>
      </c>
      <c r="F3" s="7">
        <f>Plant_Database!F3*IF(B3="Gas",Input_Parameters!$B$12,IF(B3="Coal",Input_Parameters!$B$13,1))</f>
        <v>5</v>
      </c>
      <c r="G3" s="7">
        <f>Plant_Database!G3</f>
        <v>1.1200000000000001</v>
      </c>
      <c r="H3" s="7">
        <f>Input_Parameters!$B$11</f>
        <v>80</v>
      </c>
      <c r="I3" s="7">
        <f t="shared" ref="I3:I41" si="1">G3*H3</f>
        <v>89.600000000000009</v>
      </c>
      <c r="J3" s="7">
        <f>Plant_Database!I3</f>
        <v>4</v>
      </c>
      <c r="K3" s="7">
        <f t="shared" ref="K3:K41" si="2">F3+I3+J3</f>
        <v>98.600000000000009</v>
      </c>
      <c r="L3" s="7">
        <f>SUM($E$2:E3)</f>
        <v>6947.12</v>
      </c>
      <c r="M3" s="7">
        <f>Input_Parameters!$B$6</f>
        <v>65000</v>
      </c>
      <c r="N3" s="7" t="str">
        <f t="shared" ref="N3:N41" si="3">IF(L3 - E3 &lt; $M$2, "Yes", "No")</f>
        <v>Yes</v>
      </c>
      <c r="O3" s="7">
        <f t="shared" ref="O3:O41" si="4">IF(N3="Yes", MIN(E3, $M$2 - (L3 - E3)), 0)</f>
        <v>3207.12</v>
      </c>
      <c r="P3" s="7">
        <f t="shared" ref="P3:P41" si="5">O3 * _xlfn.MAXIFS($K$2:$K$100, $N$2:$N$100, "Yes")</f>
        <v>479143.728</v>
      </c>
      <c r="Q3" s="7">
        <f t="shared" ref="Q3:Q41" si="6">O3 * K3</f>
        <v>316222.03200000001</v>
      </c>
      <c r="R3" s="7">
        <f t="shared" ref="R3:R41" si="7">P3 - Q3</f>
        <v>162921.696</v>
      </c>
      <c r="S3" s="7">
        <f t="shared" ref="S3:S41" si="8">O3 * G3</f>
        <v>3591.9744000000001</v>
      </c>
    </row>
    <row r="4" spans="1:19" x14ac:dyDescent="0.35">
      <c r="A4" s="7" t="str">
        <f>Plant_Database!B4</f>
        <v>Lignite_Jaenschwalde</v>
      </c>
      <c r="B4" s="7" t="str">
        <f>Plant_Database!D4</f>
        <v>Coal</v>
      </c>
      <c r="C4" s="7">
        <f>Plant_Database!E4</f>
        <v>3000</v>
      </c>
      <c r="D4" s="7">
        <f>IF(OR(B4="Wind"),Input_Parameters!$B$16,IF(B4="Solar",Input_Parameters!$B$17,Plant_Database!J4))</f>
        <v>84</v>
      </c>
      <c r="E4" s="7">
        <f t="shared" si="0"/>
        <v>2520</v>
      </c>
      <c r="F4" s="7">
        <f>Plant_Database!F4*IF(B4="Gas",Input_Parameters!$B$12,IF(B4="Coal",Input_Parameters!$B$13,1))</f>
        <v>5</v>
      </c>
      <c r="G4" s="7">
        <f>Plant_Database!G4</f>
        <v>1.0900000000000001</v>
      </c>
      <c r="H4" s="7">
        <f>Input_Parameters!$B$11</f>
        <v>80</v>
      </c>
      <c r="I4" s="7">
        <f t="shared" si="1"/>
        <v>87.2</v>
      </c>
      <c r="J4" s="7">
        <f>Plant_Database!I4</f>
        <v>4</v>
      </c>
      <c r="K4" s="7">
        <f t="shared" si="2"/>
        <v>96.2</v>
      </c>
      <c r="L4" s="7">
        <f>SUM($E$2:E4)</f>
        <v>9467.119999999999</v>
      </c>
      <c r="M4" s="7">
        <f>Input_Parameters!$B$6</f>
        <v>65000</v>
      </c>
      <c r="N4" s="7" t="str">
        <f t="shared" si="3"/>
        <v>Yes</v>
      </c>
      <c r="O4" s="7">
        <f t="shared" si="4"/>
        <v>2520</v>
      </c>
      <c r="P4" s="7">
        <f t="shared" si="5"/>
        <v>376488</v>
      </c>
      <c r="Q4" s="7">
        <f t="shared" si="6"/>
        <v>242424</v>
      </c>
      <c r="R4" s="7">
        <f t="shared" si="7"/>
        <v>134064</v>
      </c>
      <c r="S4" s="7">
        <f t="shared" si="8"/>
        <v>2746.8</v>
      </c>
    </row>
    <row r="5" spans="1:19" x14ac:dyDescent="0.35">
      <c r="A5" s="7" t="str">
        <f>Plant_Database!B5</f>
        <v>Lignite_BoxbergII</v>
      </c>
      <c r="B5" s="7" t="str">
        <f>Plant_Database!D5</f>
        <v>Coal</v>
      </c>
      <c r="C5" s="7">
        <f>Plant_Database!E5</f>
        <v>2575</v>
      </c>
      <c r="D5" s="7">
        <f>IF(OR(B5="Wind"),Input_Parameters!$B$16,IF(B5="Solar",Input_Parameters!$B$17,Plant_Database!J5))</f>
        <v>86</v>
      </c>
      <c r="E5" s="7">
        <f t="shared" si="0"/>
        <v>2214.5</v>
      </c>
      <c r="F5" s="7">
        <f>Plant_Database!F5*IF(B5="Gas",Input_Parameters!$B$12,IF(B5="Coal",Input_Parameters!$B$13,1))</f>
        <v>5</v>
      </c>
      <c r="G5" s="7">
        <f>Plant_Database!G5</f>
        <v>1.1100000000000001</v>
      </c>
      <c r="H5" s="7">
        <f>Input_Parameters!$B$11</f>
        <v>80</v>
      </c>
      <c r="I5" s="7">
        <f t="shared" si="1"/>
        <v>88.800000000000011</v>
      </c>
      <c r="J5" s="7">
        <f>Plant_Database!I5</f>
        <v>4</v>
      </c>
      <c r="K5" s="7">
        <f t="shared" si="2"/>
        <v>97.800000000000011</v>
      </c>
      <c r="L5" s="7">
        <f>SUM($E$2:E5)</f>
        <v>11681.619999999999</v>
      </c>
      <c r="M5" s="7">
        <f>Input_Parameters!$B$6</f>
        <v>65000</v>
      </c>
      <c r="N5" s="7" t="str">
        <f t="shared" si="3"/>
        <v>Yes</v>
      </c>
      <c r="O5" s="7">
        <f t="shared" si="4"/>
        <v>2214.5</v>
      </c>
      <c r="P5" s="7">
        <f t="shared" si="5"/>
        <v>330846.3</v>
      </c>
      <c r="Q5" s="7">
        <f t="shared" si="6"/>
        <v>216578.10000000003</v>
      </c>
      <c r="R5" s="7">
        <f t="shared" si="7"/>
        <v>114268.19999999995</v>
      </c>
      <c r="S5" s="7">
        <f t="shared" si="8"/>
        <v>2458.0950000000003</v>
      </c>
    </row>
    <row r="6" spans="1:19" x14ac:dyDescent="0.35">
      <c r="A6" s="7" t="str">
        <f>Plant_Database!B6</f>
        <v>HardCoal_Moorburg</v>
      </c>
      <c r="B6" s="7" t="str">
        <f>Plant_Database!D6</f>
        <v>Coal</v>
      </c>
      <c r="C6" s="7">
        <f>Plant_Database!E6</f>
        <v>4800</v>
      </c>
      <c r="D6" s="7">
        <f>IF(OR(B6="Wind"),Input_Parameters!$B$16,IF(B6="Solar",Input_Parameters!$B$17,Plant_Database!J6))</f>
        <v>88</v>
      </c>
      <c r="E6" s="7">
        <f t="shared" si="0"/>
        <v>4224</v>
      </c>
      <c r="F6" s="7">
        <f>Plant_Database!F6*IF(B6="Gas",Input_Parameters!$B$12,IF(B6="Coal",Input_Parameters!$B$13,1))</f>
        <v>38</v>
      </c>
      <c r="G6" s="7">
        <f>Plant_Database!G6</f>
        <v>0.9</v>
      </c>
      <c r="H6" s="7">
        <f>Input_Parameters!$B$11</f>
        <v>80</v>
      </c>
      <c r="I6" s="7">
        <f t="shared" si="1"/>
        <v>72</v>
      </c>
      <c r="J6" s="7">
        <f>Plant_Database!I6</f>
        <v>3.5</v>
      </c>
      <c r="K6" s="7">
        <f t="shared" si="2"/>
        <v>113.5</v>
      </c>
      <c r="L6" s="7">
        <f>SUM($E$2:E6)</f>
        <v>15905.619999999999</v>
      </c>
      <c r="M6" s="7">
        <f>Input_Parameters!$B$6</f>
        <v>65000</v>
      </c>
      <c r="N6" s="7" t="str">
        <f t="shared" si="3"/>
        <v>Yes</v>
      </c>
      <c r="O6" s="7">
        <f t="shared" si="4"/>
        <v>4224</v>
      </c>
      <c r="P6" s="7">
        <f t="shared" si="5"/>
        <v>631065.59999999998</v>
      </c>
      <c r="Q6" s="7">
        <f t="shared" si="6"/>
        <v>479424</v>
      </c>
      <c r="R6" s="7">
        <f t="shared" si="7"/>
        <v>151641.59999999998</v>
      </c>
      <c r="S6" s="7">
        <f t="shared" si="8"/>
        <v>3801.6</v>
      </c>
    </row>
    <row r="7" spans="1:19" x14ac:dyDescent="0.35">
      <c r="A7" s="7" t="str">
        <f>Plant_Database!B7</f>
        <v>HardCoal_Datteln</v>
      </c>
      <c r="B7" s="7" t="str">
        <f>Plant_Database!D7</f>
        <v>Coal</v>
      </c>
      <c r="C7" s="7">
        <f>Plant_Database!E7</f>
        <v>3200</v>
      </c>
      <c r="D7" s="7">
        <f>IF(OR(B7="Wind"),Input_Parameters!$B$16,IF(B7="Solar",Input_Parameters!$B$17,Plant_Database!J7))</f>
        <v>86</v>
      </c>
      <c r="E7" s="7">
        <f t="shared" si="0"/>
        <v>2752</v>
      </c>
      <c r="F7" s="7">
        <f>Plant_Database!F7*IF(B7="Gas",Input_Parameters!$B$12,IF(B7="Coal",Input_Parameters!$B$13,1))</f>
        <v>40</v>
      </c>
      <c r="G7" s="7">
        <f>Plant_Database!G7</f>
        <v>0.92</v>
      </c>
      <c r="H7" s="7">
        <f>Input_Parameters!$B$11</f>
        <v>80</v>
      </c>
      <c r="I7" s="7">
        <f t="shared" si="1"/>
        <v>73.600000000000009</v>
      </c>
      <c r="J7" s="7">
        <f>Plant_Database!I7</f>
        <v>3.5</v>
      </c>
      <c r="K7" s="7">
        <f t="shared" si="2"/>
        <v>117.10000000000001</v>
      </c>
      <c r="L7" s="7">
        <f>SUM($E$2:E7)</f>
        <v>18657.62</v>
      </c>
      <c r="M7" s="7">
        <f>Input_Parameters!$B$6</f>
        <v>65000</v>
      </c>
      <c r="N7" s="7" t="str">
        <f t="shared" si="3"/>
        <v>Yes</v>
      </c>
      <c r="O7" s="7">
        <f t="shared" si="4"/>
        <v>2752</v>
      </c>
      <c r="P7" s="7">
        <f t="shared" si="5"/>
        <v>411148.79999999999</v>
      </c>
      <c r="Q7" s="7">
        <f t="shared" si="6"/>
        <v>322259.20000000001</v>
      </c>
      <c r="R7" s="7">
        <f t="shared" si="7"/>
        <v>88889.599999999977</v>
      </c>
      <c r="S7" s="7">
        <f t="shared" si="8"/>
        <v>2531.84</v>
      </c>
    </row>
    <row r="8" spans="1:19" x14ac:dyDescent="0.35">
      <c r="A8" s="7" t="str">
        <f>Plant_Database!B8</f>
        <v>HardCoal_Walsum</v>
      </c>
      <c r="B8" s="7" t="str">
        <f>Plant_Database!D8</f>
        <v>Coal</v>
      </c>
      <c r="C8" s="7">
        <f>Plant_Database!E8</f>
        <v>3500</v>
      </c>
      <c r="D8" s="7">
        <f>IF(OR(B8="Wind"),Input_Parameters!$B$16,IF(B8="Solar",Input_Parameters!$B$17,Plant_Database!J8))</f>
        <v>87</v>
      </c>
      <c r="E8" s="7">
        <f t="shared" si="0"/>
        <v>3045</v>
      </c>
      <c r="F8" s="7">
        <f>Plant_Database!F8*IF(B8="Gas",Input_Parameters!$B$12,IF(B8="Coal",Input_Parameters!$B$13,1))</f>
        <v>39</v>
      </c>
      <c r="G8" s="7">
        <f>Plant_Database!G8</f>
        <v>0.91</v>
      </c>
      <c r="H8" s="7">
        <f>Input_Parameters!$B$11</f>
        <v>80</v>
      </c>
      <c r="I8" s="7">
        <f t="shared" si="1"/>
        <v>72.8</v>
      </c>
      <c r="J8" s="7">
        <f>Plant_Database!I8</f>
        <v>3.5</v>
      </c>
      <c r="K8" s="7">
        <f t="shared" si="2"/>
        <v>115.3</v>
      </c>
      <c r="L8" s="7">
        <f>SUM($E$2:E8)</f>
        <v>21702.62</v>
      </c>
      <c r="M8" s="7">
        <f>Input_Parameters!$B$6</f>
        <v>65000</v>
      </c>
      <c r="N8" s="7" t="str">
        <f t="shared" si="3"/>
        <v>Yes</v>
      </c>
      <c r="O8" s="7">
        <f t="shared" si="4"/>
        <v>3045</v>
      </c>
      <c r="P8" s="7">
        <f t="shared" si="5"/>
        <v>454923</v>
      </c>
      <c r="Q8" s="7">
        <f t="shared" si="6"/>
        <v>351088.5</v>
      </c>
      <c r="R8" s="7">
        <f t="shared" si="7"/>
        <v>103834.5</v>
      </c>
      <c r="S8" s="7">
        <f t="shared" si="8"/>
        <v>2770.9500000000003</v>
      </c>
    </row>
    <row r="9" spans="1:19" x14ac:dyDescent="0.35">
      <c r="A9" s="7" t="str">
        <f>Plant_Database!B9</f>
        <v>HardCoal_Wilhelmshaven</v>
      </c>
      <c r="B9" s="7" t="str">
        <f>Plant_Database!D9</f>
        <v>Coal</v>
      </c>
      <c r="C9" s="7">
        <f>Plant_Database!E9</f>
        <v>3200</v>
      </c>
      <c r="D9" s="7">
        <f>IF(OR(B9="Wind"),Input_Parameters!$B$16,IF(B9="Solar",Input_Parameters!$B$17,Plant_Database!J9))</f>
        <v>89</v>
      </c>
      <c r="E9" s="7">
        <f t="shared" si="0"/>
        <v>2848</v>
      </c>
      <c r="F9" s="7">
        <f>Plant_Database!F9*IF(B9="Gas",Input_Parameters!$B$12,IF(B9="Coal",Input_Parameters!$B$13,1))</f>
        <v>37</v>
      </c>
      <c r="G9" s="7">
        <f>Plant_Database!G9</f>
        <v>0.89</v>
      </c>
      <c r="H9" s="7">
        <f>Input_Parameters!$B$11</f>
        <v>80</v>
      </c>
      <c r="I9" s="7">
        <f t="shared" si="1"/>
        <v>71.2</v>
      </c>
      <c r="J9" s="7">
        <f>Plant_Database!I9</f>
        <v>3.5</v>
      </c>
      <c r="K9" s="7">
        <f t="shared" si="2"/>
        <v>111.7</v>
      </c>
      <c r="L9" s="7">
        <f>SUM($E$2:E9)</f>
        <v>24550.62</v>
      </c>
      <c r="M9" s="7">
        <f>Input_Parameters!$B$6</f>
        <v>65000</v>
      </c>
      <c r="N9" s="7" t="str">
        <f t="shared" si="3"/>
        <v>Yes</v>
      </c>
      <c r="O9" s="7">
        <f t="shared" si="4"/>
        <v>2848</v>
      </c>
      <c r="P9" s="7">
        <f t="shared" si="5"/>
        <v>425491.20000000001</v>
      </c>
      <c r="Q9" s="7">
        <f t="shared" si="6"/>
        <v>318121.60000000003</v>
      </c>
      <c r="R9" s="7">
        <f t="shared" si="7"/>
        <v>107369.59999999998</v>
      </c>
      <c r="S9" s="7">
        <f t="shared" si="8"/>
        <v>2534.7200000000003</v>
      </c>
    </row>
    <row r="10" spans="1:19" x14ac:dyDescent="0.35">
      <c r="A10" s="7" t="str">
        <f>Plant_Database!B10</f>
        <v>HardCoal_Mehrum</v>
      </c>
      <c r="B10" s="7" t="str">
        <f>Plant_Database!D10</f>
        <v>Coal</v>
      </c>
      <c r="C10" s="7">
        <f>Plant_Database!E10</f>
        <v>2100</v>
      </c>
      <c r="D10" s="7">
        <f>IF(OR(B10="Wind"),Input_Parameters!$B$16,IF(B10="Solar",Input_Parameters!$B$17,Plant_Database!J10))</f>
        <v>85</v>
      </c>
      <c r="E10" s="7">
        <f t="shared" si="0"/>
        <v>1785</v>
      </c>
      <c r="F10" s="7">
        <f>Plant_Database!F10*IF(B10="Gas",Input_Parameters!$B$12,IF(B10="Coal",Input_Parameters!$B$13,1))</f>
        <v>38</v>
      </c>
      <c r="G10" s="7">
        <f>Plant_Database!G10</f>
        <v>0.9</v>
      </c>
      <c r="H10" s="7">
        <f>Input_Parameters!$B$11</f>
        <v>80</v>
      </c>
      <c r="I10" s="7">
        <f t="shared" si="1"/>
        <v>72</v>
      </c>
      <c r="J10" s="7">
        <f>Plant_Database!I10</f>
        <v>3.5</v>
      </c>
      <c r="K10" s="7">
        <f t="shared" si="2"/>
        <v>113.5</v>
      </c>
      <c r="L10" s="7">
        <f>SUM($E$2:E10)</f>
        <v>26335.62</v>
      </c>
      <c r="M10" s="7">
        <f>Input_Parameters!$B$6</f>
        <v>65000</v>
      </c>
      <c r="N10" s="7" t="str">
        <f t="shared" si="3"/>
        <v>Yes</v>
      </c>
      <c r="O10" s="7">
        <f t="shared" si="4"/>
        <v>1785</v>
      </c>
      <c r="P10" s="7">
        <f t="shared" si="5"/>
        <v>266679</v>
      </c>
      <c r="Q10" s="7">
        <f t="shared" si="6"/>
        <v>202597.5</v>
      </c>
      <c r="R10" s="7">
        <f t="shared" si="7"/>
        <v>64081.5</v>
      </c>
      <c r="S10" s="7">
        <f t="shared" si="8"/>
        <v>1606.5</v>
      </c>
    </row>
    <row r="11" spans="1:19" x14ac:dyDescent="0.35">
      <c r="A11" s="7" t="str">
        <f>Plant_Database!B11</f>
        <v>HardCoal_Heyden</v>
      </c>
      <c r="B11" s="7" t="str">
        <f>Plant_Database!D11</f>
        <v>Coal</v>
      </c>
      <c r="C11" s="7">
        <f>Plant_Database!E11</f>
        <v>1200</v>
      </c>
      <c r="D11" s="7">
        <f>IF(OR(B11="Wind"),Input_Parameters!$B$16,IF(B11="Solar",Input_Parameters!$B$17,Plant_Database!J11))</f>
        <v>86</v>
      </c>
      <c r="E11" s="7">
        <f t="shared" si="0"/>
        <v>1032</v>
      </c>
      <c r="F11" s="7">
        <f>Plant_Database!F11*IF(B11="Gas",Input_Parameters!$B$12,IF(B11="Coal",Input_Parameters!$B$13,1))</f>
        <v>39</v>
      </c>
      <c r="G11" s="7">
        <f>Plant_Database!G11</f>
        <v>0.91</v>
      </c>
      <c r="H11" s="7">
        <f>Input_Parameters!$B$11</f>
        <v>80</v>
      </c>
      <c r="I11" s="7">
        <f t="shared" si="1"/>
        <v>72.8</v>
      </c>
      <c r="J11" s="7">
        <f>Plant_Database!I11</f>
        <v>3.5</v>
      </c>
      <c r="K11" s="7">
        <f t="shared" si="2"/>
        <v>115.3</v>
      </c>
      <c r="L11" s="7">
        <f>SUM($E$2:E11)</f>
        <v>27367.62</v>
      </c>
      <c r="M11" s="7">
        <f>Input_Parameters!$B$6</f>
        <v>65000</v>
      </c>
      <c r="N11" s="7" t="str">
        <f t="shared" si="3"/>
        <v>Yes</v>
      </c>
      <c r="O11" s="7">
        <f t="shared" si="4"/>
        <v>1032</v>
      </c>
      <c r="P11" s="7">
        <f t="shared" si="5"/>
        <v>154180.80000000002</v>
      </c>
      <c r="Q11" s="7">
        <f t="shared" si="6"/>
        <v>118989.59999999999</v>
      </c>
      <c r="R11" s="7">
        <f t="shared" si="7"/>
        <v>35191.200000000026</v>
      </c>
      <c r="S11" s="7">
        <f t="shared" si="8"/>
        <v>939.12</v>
      </c>
    </row>
    <row r="12" spans="1:19" x14ac:dyDescent="0.35">
      <c r="A12" s="7" t="str">
        <f>Plant_Database!B12</f>
        <v>CCGT_Irsching</v>
      </c>
      <c r="B12" s="7" t="str">
        <f>Plant_Database!D12</f>
        <v>Gas</v>
      </c>
      <c r="C12" s="7">
        <f>Plant_Database!E12</f>
        <v>3600</v>
      </c>
      <c r="D12" s="7">
        <f>IF(OR(B12="Wind"),Input_Parameters!$B$16,IF(B12="Solar",Input_Parameters!$B$17,Plant_Database!J12))</f>
        <v>90</v>
      </c>
      <c r="E12" s="7">
        <f t="shared" si="0"/>
        <v>3240</v>
      </c>
      <c r="F12" s="7">
        <f>Plant_Database!F12*IF(B12="Gas",Input_Parameters!$B$12,IF(B12="Coal",Input_Parameters!$B$13,1))</f>
        <v>70</v>
      </c>
      <c r="G12" s="7">
        <f>Plant_Database!G12</f>
        <v>0.4</v>
      </c>
      <c r="H12" s="7">
        <f>Input_Parameters!$B$11</f>
        <v>80</v>
      </c>
      <c r="I12" s="7">
        <f t="shared" si="1"/>
        <v>32</v>
      </c>
      <c r="J12" s="7">
        <f>Plant_Database!I12</f>
        <v>2.5</v>
      </c>
      <c r="K12" s="7">
        <f t="shared" si="2"/>
        <v>104.5</v>
      </c>
      <c r="L12" s="7">
        <f>SUM($E$2:E12)</f>
        <v>30607.62</v>
      </c>
      <c r="M12" s="7">
        <f>Input_Parameters!$B$6</f>
        <v>65000</v>
      </c>
      <c r="N12" s="7" t="str">
        <f t="shared" si="3"/>
        <v>Yes</v>
      </c>
      <c r="O12" s="7">
        <f t="shared" si="4"/>
        <v>3240</v>
      </c>
      <c r="P12" s="7">
        <f t="shared" si="5"/>
        <v>484056</v>
      </c>
      <c r="Q12" s="7">
        <f t="shared" si="6"/>
        <v>338580</v>
      </c>
      <c r="R12" s="7">
        <f t="shared" si="7"/>
        <v>145476</v>
      </c>
      <c r="S12" s="7">
        <f t="shared" si="8"/>
        <v>1296</v>
      </c>
    </row>
    <row r="13" spans="1:19" x14ac:dyDescent="0.35">
      <c r="A13" s="7" t="str">
        <f>Plant_Database!B13</f>
        <v>CCGT_Fortuna</v>
      </c>
      <c r="B13" s="7" t="str">
        <f>Plant_Database!D13</f>
        <v>Gas</v>
      </c>
      <c r="C13" s="7">
        <f>Plant_Database!E13</f>
        <v>2300</v>
      </c>
      <c r="D13" s="7">
        <f>IF(OR(B13="Wind"),Input_Parameters!$B$16,IF(B13="Solar",Input_Parameters!$B$17,Plant_Database!J13))</f>
        <v>88</v>
      </c>
      <c r="E13" s="7">
        <f t="shared" si="0"/>
        <v>2024</v>
      </c>
      <c r="F13" s="7">
        <f>Plant_Database!F13*IF(B13="Gas",Input_Parameters!$B$12,IF(B13="Coal",Input_Parameters!$B$13,1))</f>
        <v>72</v>
      </c>
      <c r="G13" s="7">
        <f>Plant_Database!G13</f>
        <v>0.41</v>
      </c>
      <c r="H13" s="7">
        <f>Input_Parameters!$B$11</f>
        <v>80</v>
      </c>
      <c r="I13" s="7">
        <f t="shared" si="1"/>
        <v>32.799999999999997</v>
      </c>
      <c r="J13" s="7">
        <f>Plant_Database!I13</f>
        <v>2.5</v>
      </c>
      <c r="K13" s="7">
        <f t="shared" si="2"/>
        <v>107.3</v>
      </c>
      <c r="L13" s="7">
        <f>SUM($E$2:E13)</f>
        <v>32631.62</v>
      </c>
      <c r="M13" s="7">
        <f>Input_Parameters!$B$6</f>
        <v>65000</v>
      </c>
      <c r="N13" s="7" t="str">
        <f t="shared" si="3"/>
        <v>Yes</v>
      </c>
      <c r="O13" s="7">
        <f t="shared" si="4"/>
        <v>2024</v>
      </c>
      <c r="P13" s="7">
        <f t="shared" si="5"/>
        <v>302385.60000000003</v>
      </c>
      <c r="Q13" s="7">
        <f t="shared" si="6"/>
        <v>217175.19999999998</v>
      </c>
      <c r="R13" s="7">
        <f t="shared" si="7"/>
        <v>85210.400000000052</v>
      </c>
      <c r="S13" s="7">
        <f t="shared" si="8"/>
        <v>829.83999999999992</v>
      </c>
    </row>
    <row r="14" spans="1:19" x14ac:dyDescent="0.35">
      <c r="A14" s="7" t="str">
        <f>Plant_Database!B14</f>
        <v>CCGT_Leipzig</v>
      </c>
      <c r="B14" s="7" t="str">
        <f>Plant_Database!D14</f>
        <v>Gas</v>
      </c>
      <c r="C14" s="7">
        <f>Plant_Database!E14</f>
        <v>1900</v>
      </c>
      <c r="D14" s="7">
        <f>IF(OR(B14="Wind"),Input_Parameters!$B$16,IF(B14="Solar",Input_Parameters!$B$17,Plant_Database!J14))</f>
        <v>91</v>
      </c>
      <c r="E14" s="7">
        <f t="shared" si="0"/>
        <v>1729</v>
      </c>
      <c r="F14" s="7">
        <f>Plant_Database!F14*IF(B14="Gas",Input_Parameters!$B$12,IF(B14="Coal",Input_Parameters!$B$13,1))</f>
        <v>68</v>
      </c>
      <c r="G14" s="7">
        <f>Plant_Database!G14</f>
        <v>0.39</v>
      </c>
      <c r="H14" s="7">
        <f>Input_Parameters!$B$11</f>
        <v>80</v>
      </c>
      <c r="I14" s="7">
        <f t="shared" si="1"/>
        <v>31.200000000000003</v>
      </c>
      <c r="J14" s="7">
        <f>Plant_Database!I14</f>
        <v>2.5</v>
      </c>
      <c r="K14" s="7">
        <f t="shared" si="2"/>
        <v>101.7</v>
      </c>
      <c r="L14" s="7">
        <f>SUM($E$2:E14)</f>
        <v>34360.619999999995</v>
      </c>
      <c r="M14" s="7">
        <f>Input_Parameters!$B$6</f>
        <v>65000</v>
      </c>
      <c r="N14" s="7" t="str">
        <f t="shared" si="3"/>
        <v>Yes</v>
      </c>
      <c r="O14" s="7">
        <f t="shared" si="4"/>
        <v>1729</v>
      </c>
      <c r="P14" s="7">
        <f t="shared" si="5"/>
        <v>258312.6</v>
      </c>
      <c r="Q14" s="7">
        <f t="shared" si="6"/>
        <v>175839.30000000002</v>
      </c>
      <c r="R14" s="7">
        <f t="shared" si="7"/>
        <v>82473.299999999988</v>
      </c>
      <c r="S14" s="7">
        <f t="shared" si="8"/>
        <v>674.31000000000006</v>
      </c>
    </row>
    <row r="15" spans="1:19" x14ac:dyDescent="0.35">
      <c r="A15" s="7" t="str">
        <f>Plant_Database!B15</f>
        <v>CCGT_GuD_Lausward</v>
      </c>
      <c r="B15" s="7" t="str">
        <f>Plant_Database!D15</f>
        <v>Gas</v>
      </c>
      <c r="C15" s="7">
        <f>Plant_Database!E15</f>
        <v>1700</v>
      </c>
      <c r="D15" s="7">
        <f>IF(OR(B15="Wind"),Input_Parameters!$B$16,IF(B15="Solar",Input_Parameters!$B$17,Plant_Database!J15))</f>
        <v>89</v>
      </c>
      <c r="E15" s="7">
        <f t="shared" si="0"/>
        <v>1513</v>
      </c>
      <c r="F15" s="7">
        <f>Plant_Database!F15*IF(B15="Gas",Input_Parameters!$B$12,IF(B15="Coal",Input_Parameters!$B$13,1))</f>
        <v>71</v>
      </c>
      <c r="G15" s="7">
        <f>Plant_Database!G15</f>
        <v>0.4</v>
      </c>
      <c r="H15" s="7">
        <f>Input_Parameters!$B$11</f>
        <v>80</v>
      </c>
      <c r="I15" s="7">
        <f t="shared" si="1"/>
        <v>32</v>
      </c>
      <c r="J15" s="7">
        <f>Plant_Database!I15</f>
        <v>2.5</v>
      </c>
      <c r="K15" s="7">
        <f t="shared" si="2"/>
        <v>105.5</v>
      </c>
      <c r="L15" s="7">
        <f>SUM($E$2:E15)</f>
        <v>35873.619999999995</v>
      </c>
      <c r="M15" s="7">
        <f>Input_Parameters!$B$6</f>
        <v>65000</v>
      </c>
      <c r="N15" s="7" t="str">
        <f t="shared" si="3"/>
        <v>Yes</v>
      </c>
      <c r="O15" s="7">
        <f t="shared" si="4"/>
        <v>1513</v>
      </c>
      <c r="P15" s="7">
        <f t="shared" si="5"/>
        <v>226042.2</v>
      </c>
      <c r="Q15" s="7">
        <f t="shared" si="6"/>
        <v>159621.5</v>
      </c>
      <c r="R15" s="7">
        <f t="shared" si="7"/>
        <v>66420.700000000012</v>
      </c>
      <c r="S15" s="7">
        <f t="shared" si="8"/>
        <v>605.20000000000005</v>
      </c>
    </row>
    <row r="16" spans="1:19" x14ac:dyDescent="0.35">
      <c r="A16" s="7" t="str">
        <f>Plant_Database!B16</f>
        <v>CCGT_Herne</v>
      </c>
      <c r="B16" s="7" t="str">
        <f>Plant_Database!D16</f>
        <v>Gas</v>
      </c>
      <c r="C16" s="7">
        <f>Plant_Database!E16</f>
        <v>1520</v>
      </c>
      <c r="D16" s="7">
        <f>IF(OR(B16="Wind"),Input_Parameters!$B$16,IF(B16="Solar",Input_Parameters!$B$17,Plant_Database!J16))</f>
        <v>90</v>
      </c>
      <c r="E16" s="7">
        <f t="shared" si="0"/>
        <v>1368</v>
      </c>
      <c r="F16" s="7">
        <f>Plant_Database!F16*IF(B16="Gas",Input_Parameters!$B$12,IF(B16="Coal",Input_Parameters!$B$13,1))</f>
        <v>69</v>
      </c>
      <c r="G16" s="7">
        <f>Plant_Database!G16</f>
        <v>0.39</v>
      </c>
      <c r="H16" s="7">
        <f>Input_Parameters!$B$11</f>
        <v>80</v>
      </c>
      <c r="I16" s="7">
        <f t="shared" si="1"/>
        <v>31.200000000000003</v>
      </c>
      <c r="J16" s="7">
        <f>Plant_Database!I16</f>
        <v>2.5</v>
      </c>
      <c r="K16" s="7">
        <f t="shared" si="2"/>
        <v>102.7</v>
      </c>
      <c r="L16" s="7">
        <f>SUM($E$2:E16)</f>
        <v>37241.619999999995</v>
      </c>
      <c r="M16" s="7">
        <f>Input_Parameters!$B$6</f>
        <v>65000</v>
      </c>
      <c r="N16" s="7" t="str">
        <f t="shared" si="3"/>
        <v>Yes</v>
      </c>
      <c r="O16" s="7">
        <f t="shared" si="4"/>
        <v>1368</v>
      </c>
      <c r="P16" s="7">
        <f t="shared" si="5"/>
        <v>204379.2</v>
      </c>
      <c r="Q16" s="7">
        <f t="shared" si="6"/>
        <v>140493.6</v>
      </c>
      <c r="R16" s="7">
        <f t="shared" si="7"/>
        <v>63885.600000000006</v>
      </c>
      <c r="S16" s="7">
        <f t="shared" si="8"/>
        <v>533.52</v>
      </c>
    </row>
    <row r="17" spans="1:19" x14ac:dyDescent="0.35">
      <c r="A17" s="7" t="str">
        <f>Plant_Database!B17</f>
        <v>CCGT_Knapsack</v>
      </c>
      <c r="B17" s="7" t="str">
        <f>Plant_Database!D17</f>
        <v>Gas</v>
      </c>
      <c r="C17" s="7">
        <f>Plant_Database!E17</f>
        <v>1200</v>
      </c>
      <c r="D17" s="7">
        <f>IF(OR(B17="Wind"),Input_Parameters!$B$16,IF(B17="Solar",Input_Parameters!$B$17,Plant_Database!J17))</f>
        <v>89</v>
      </c>
      <c r="E17" s="7">
        <f t="shared" si="0"/>
        <v>1068</v>
      </c>
      <c r="F17" s="7">
        <f>Plant_Database!F17*IF(B17="Gas",Input_Parameters!$B$12,IF(B17="Coal",Input_Parameters!$B$13,1))</f>
        <v>70</v>
      </c>
      <c r="G17" s="7">
        <f>Plant_Database!G17</f>
        <v>0.4</v>
      </c>
      <c r="H17" s="7">
        <f>Input_Parameters!$B$11</f>
        <v>80</v>
      </c>
      <c r="I17" s="7">
        <f t="shared" si="1"/>
        <v>32</v>
      </c>
      <c r="J17" s="7">
        <f>Plant_Database!I17</f>
        <v>2.5</v>
      </c>
      <c r="K17" s="7">
        <f t="shared" si="2"/>
        <v>104.5</v>
      </c>
      <c r="L17" s="7">
        <f>SUM($E$2:E17)</f>
        <v>38309.619999999995</v>
      </c>
      <c r="M17" s="7">
        <f>Input_Parameters!$B$6</f>
        <v>65000</v>
      </c>
      <c r="N17" s="7" t="str">
        <f t="shared" si="3"/>
        <v>Yes</v>
      </c>
      <c r="O17" s="7">
        <f t="shared" si="4"/>
        <v>1068</v>
      </c>
      <c r="P17" s="7">
        <f t="shared" si="5"/>
        <v>159559.20000000001</v>
      </c>
      <c r="Q17" s="7">
        <f t="shared" si="6"/>
        <v>111606</v>
      </c>
      <c r="R17" s="7">
        <f t="shared" si="7"/>
        <v>47953.200000000012</v>
      </c>
      <c r="S17" s="7">
        <f t="shared" si="8"/>
        <v>427.20000000000005</v>
      </c>
    </row>
    <row r="18" spans="1:19" x14ac:dyDescent="0.35">
      <c r="A18" s="7" t="str">
        <f>Plant_Database!B18</f>
        <v>CCGT_Hamm</v>
      </c>
      <c r="B18" s="7" t="str">
        <f>Plant_Database!D18</f>
        <v>Gas</v>
      </c>
      <c r="C18" s="7">
        <f>Plant_Database!E18</f>
        <v>800</v>
      </c>
      <c r="D18" s="7">
        <f>IF(OR(B18="Wind"),Input_Parameters!$B$16,IF(B18="Solar",Input_Parameters!$B$17,Plant_Database!J18))</f>
        <v>87</v>
      </c>
      <c r="E18" s="7">
        <f t="shared" si="0"/>
        <v>696</v>
      </c>
      <c r="F18" s="7">
        <f>Plant_Database!F18*IF(B18="Gas",Input_Parameters!$B$12,IF(B18="Coal",Input_Parameters!$B$13,1))</f>
        <v>73</v>
      </c>
      <c r="G18" s="7">
        <f>Plant_Database!G18</f>
        <v>0.41</v>
      </c>
      <c r="H18" s="7">
        <f>Input_Parameters!$B$11</f>
        <v>80</v>
      </c>
      <c r="I18" s="7">
        <f t="shared" si="1"/>
        <v>32.799999999999997</v>
      </c>
      <c r="J18" s="7">
        <f>Plant_Database!I18</f>
        <v>2.5</v>
      </c>
      <c r="K18" s="7">
        <f t="shared" si="2"/>
        <v>108.3</v>
      </c>
      <c r="L18" s="7">
        <f>SUM($E$2:E18)</f>
        <v>39005.619999999995</v>
      </c>
      <c r="M18" s="7">
        <f>Input_Parameters!$B$6</f>
        <v>65000</v>
      </c>
      <c r="N18" s="7" t="str">
        <f t="shared" si="3"/>
        <v>Yes</v>
      </c>
      <c r="O18" s="7">
        <f t="shared" si="4"/>
        <v>696</v>
      </c>
      <c r="P18" s="7">
        <f t="shared" si="5"/>
        <v>103982.40000000001</v>
      </c>
      <c r="Q18" s="7">
        <f t="shared" si="6"/>
        <v>75376.800000000003</v>
      </c>
      <c r="R18" s="7">
        <f t="shared" si="7"/>
        <v>28605.600000000006</v>
      </c>
      <c r="S18" s="7">
        <f t="shared" si="8"/>
        <v>285.35999999999996</v>
      </c>
    </row>
    <row r="19" spans="1:19" x14ac:dyDescent="0.35">
      <c r="A19" s="7" t="str">
        <f>Plant_Database!B19</f>
        <v>OCGT_Peak_North</v>
      </c>
      <c r="B19" s="7" t="str">
        <f>Plant_Database!D19</f>
        <v>Gas Peaker</v>
      </c>
      <c r="C19" s="7">
        <f>Plant_Database!E19</f>
        <v>1200</v>
      </c>
      <c r="D19" s="7">
        <f>IF(OR(B19="Wind"),Input_Parameters!$B$16,IF(B19="Solar",Input_Parameters!$B$17,Plant_Database!J19))</f>
        <v>92</v>
      </c>
      <c r="E19" s="7">
        <f t="shared" si="0"/>
        <v>1104</v>
      </c>
      <c r="F19" s="7">
        <f>Plant_Database!F19*IF(B19="Gas",Input_Parameters!$B$12,IF(B19="Coal",Input_Parameters!$B$13,1))</f>
        <v>95</v>
      </c>
      <c r="G19" s="7">
        <f>Plant_Database!G19</f>
        <v>0.55000000000000004</v>
      </c>
      <c r="H19" s="7">
        <f>Input_Parameters!$B$11</f>
        <v>80</v>
      </c>
      <c r="I19" s="7">
        <f t="shared" si="1"/>
        <v>44</v>
      </c>
      <c r="J19" s="7">
        <f>Plant_Database!I19</f>
        <v>3</v>
      </c>
      <c r="K19" s="7">
        <f t="shared" si="2"/>
        <v>142</v>
      </c>
      <c r="L19" s="7">
        <f>SUM($E$2:E19)</f>
        <v>40109.619999999995</v>
      </c>
      <c r="M19" s="7">
        <f>Input_Parameters!$B$6</f>
        <v>65000</v>
      </c>
      <c r="N19" s="7" t="str">
        <f t="shared" si="3"/>
        <v>Yes</v>
      </c>
      <c r="O19" s="7">
        <f t="shared" si="4"/>
        <v>1104</v>
      </c>
      <c r="P19" s="7">
        <f t="shared" si="5"/>
        <v>164937.60000000001</v>
      </c>
      <c r="Q19" s="7">
        <f t="shared" si="6"/>
        <v>156768</v>
      </c>
      <c r="R19" s="7">
        <f t="shared" si="7"/>
        <v>8169.6000000000058</v>
      </c>
      <c r="S19" s="7">
        <f t="shared" si="8"/>
        <v>607.20000000000005</v>
      </c>
    </row>
    <row r="20" spans="1:19" x14ac:dyDescent="0.35">
      <c r="A20" s="7" t="str">
        <f>Plant_Database!B20</f>
        <v>OCGT_Peak_South</v>
      </c>
      <c r="B20" s="7" t="str">
        <f>Plant_Database!D20</f>
        <v>Gas Peaker</v>
      </c>
      <c r="C20" s="7">
        <f>Plant_Database!E20</f>
        <v>1000</v>
      </c>
      <c r="D20" s="7">
        <f>IF(OR(B20="Wind"),Input_Parameters!$B$16,IF(B20="Solar",Input_Parameters!$B$17,Plant_Database!J20))</f>
        <v>90</v>
      </c>
      <c r="E20" s="7">
        <f t="shared" si="0"/>
        <v>900</v>
      </c>
      <c r="F20" s="7">
        <f>Plant_Database!F20*IF(B20="Gas",Input_Parameters!$B$12,IF(B20="Coal",Input_Parameters!$B$13,1))</f>
        <v>98</v>
      </c>
      <c r="G20" s="7">
        <f>Plant_Database!G20</f>
        <v>0.56999999999999995</v>
      </c>
      <c r="H20" s="7">
        <f>Input_Parameters!$B$11</f>
        <v>80</v>
      </c>
      <c r="I20" s="7">
        <f t="shared" si="1"/>
        <v>45.599999999999994</v>
      </c>
      <c r="J20" s="7">
        <f>Plant_Database!I20</f>
        <v>3</v>
      </c>
      <c r="K20" s="7">
        <f t="shared" si="2"/>
        <v>146.6</v>
      </c>
      <c r="L20" s="7">
        <f>SUM($E$2:E20)</f>
        <v>41009.619999999995</v>
      </c>
      <c r="M20" s="7">
        <f>Input_Parameters!$B$6</f>
        <v>65000</v>
      </c>
      <c r="N20" s="7" t="str">
        <f t="shared" si="3"/>
        <v>Yes</v>
      </c>
      <c r="O20" s="7">
        <f t="shared" si="4"/>
        <v>900</v>
      </c>
      <c r="P20" s="7">
        <f t="shared" si="5"/>
        <v>134460</v>
      </c>
      <c r="Q20" s="7">
        <f t="shared" si="6"/>
        <v>131940</v>
      </c>
      <c r="R20" s="7">
        <f t="shared" si="7"/>
        <v>2520</v>
      </c>
      <c r="S20" s="7">
        <f t="shared" si="8"/>
        <v>513</v>
      </c>
    </row>
    <row r="21" spans="1:19" x14ac:dyDescent="0.35">
      <c r="A21" s="7" t="str">
        <f>Plant_Database!B21</f>
        <v>OCGT_Reserve_West</v>
      </c>
      <c r="B21" s="7" t="str">
        <f>Plant_Database!D21</f>
        <v>Gas Peaker</v>
      </c>
      <c r="C21" s="7">
        <f>Plant_Database!E21</f>
        <v>800</v>
      </c>
      <c r="D21" s="7">
        <f>IF(OR(B21="Wind"),Input_Parameters!$B$16,IF(B21="Solar",Input_Parameters!$B$17,Plant_Database!J21))</f>
        <v>91</v>
      </c>
      <c r="E21" s="7">
        <f t="shared" si="0"/>
        <v>728</v>
      </c>
      <c r="F21" s="7">
        <f>Plant_Database!F21*IF(B21="Gas",Input_Parameters!$B$12,IF(B21="Coal",Input_Parameters!$B$13,1))</f>
        <v>96</v>
      </c>
      <c r="G21" s="7">
        <f>Plant_Database!G21</f>
        <v>0.56000000000000005</v>
      </c>
      <c r="H21" s="7">
        <f>Input_Parameters!$B$11</f>
        <v>80</v>
      </c>
      <c r="I21" s="7">
        <f t="shared" si="1"/>
        <v>44.800000000000004</v>
      </c>
      <c r="J21" s="7">
        <f>Plant_Database!I21</f>
        <v>3</v>
      </c>
      <c r="K21" s="7">
        <f t="shared" si="2"/>
        <v>143.80000000000001</v>
      </c>
      <c r="L21" s="7">
        <f>SUM($E$2:E21)</f>
        <v>41737.619999999995</v>
      </c>
      <c r="M21" s="7">
        <f>Input_Parameters!$B$6</f>
        <v>65000</v>
      </c>
      <c r="N21" s="7" t="str">
        <f t="shared" si="3"/>
        <v>Yes</v>
      </c>
      <c r="O21" s="7">
        <f t="shared" si="4"/>
        <v>728</v>
      </c>
      <c r="P21" s="7">
        <f t="shared" si="5"/>
        <v>108763.2</v>
      </c>
      <c r="Q21" s="7">
        <f t="shared" si="6"/>
        <v>104686.40000000001</v>
      </c>
      <c r="R21" s="7">
        <f t="shared" si="7"/>
        <v>4076.7999999999884</v>
      </c>
      <c r="S21" s="7">
        <f t="shared" si="8"/>
        <v>407.68000000000006</v>
      </c>
    </row>
    <row r="22" spans="1:19" x14ac:dyDescent="0.35">
      <c r="A22" s="7" t="str">
        <f>Plant_Database!B22</f>
        <v>OCGT_Grid_Stabilization</v>
      </c>
      <c r="B22" s="7" t="str">
        <f>Plant_Database!D22</f>
        <v>Gas Peaker</v>
      </c>
      <c r="C22" s="7">
        <f>Plant_Database!E22</f>
        <v>1500</v>
      </c>
      <c r="D22" s="7">
        <f>IF(OR(B22="Wind"),Input_Parameters!$B$16,IF(B22="Solar",Input_Parameters!$B$17,Plant_Database!J22))</f>
        <v>93</v>
      </c>
      <c r="E22" s="7">
        <f t="shared" si="0"/>
        <v>1395</v>
      </c>
      <c r="F22" s="7">
        <f>Plant_Database!F22*IF(B22="Gas",Input_Parameters!$B$12,IF(B22="Coal",Input_Parameters!$B$13,1))</f>
        <v>100</v>
      </c>
      <c r="G22" s="7">
        <f>Plant_Database!G22</f>
        <v>0.57999999999999996</v>
      </c>
      <c r="H22" s="7">
        <f>Input_Parameters!$B$11</f>
        <v>80</v>
      </c>
      <c r="I22" s="7">
        <f t="shared" si="1"/>
        <v>46.4</v>
      </c>
      <c r="J22" s="7">
        <f>Plant_Database!I22</f>
        <v>3</v>
      </c>
      <c r="K22" s="7">
        <f t="shared" si="2"/>
        <v>149.4</v>
      </c>
      <c r="L22" s="7">
        <f>SUM($E$2:E22)</f>
        <v>43132.619999999995</v>
      </c>
      <c r="M22" s="7">
        <f>Input_Parameters!$B$6</f>
        <v>65000</v>
      </c>
      <c r="N22" s="7" t="str">
        <f t="shared" si="3"/>
        <v>Yes</v>
      </c>
      <c r="O22" s="7">
        <f t="shared" si="4"/>
        <v>1395</v>
      </c>
      <c r="P22" s="7">
        <f t="shared" si="5"/>
        <v>208413</v>
      </c>
      <c r="Q22" s="7">
        <f t="shared" si="6"/>
        <v>208413</v>
      </c>
      <c r="R22" s="7">
        <f t="shared" si="7"/>
        <v>0</v>
      </c>
      <c r="S22" s="7">
        <f t="shared" si="8"/>
        <v>809.09999999999991</v>
      </c>
    </row>
    <row r="23" spans="1:19" x14ac:dyDescent="0.35">
      <c r="A23" s="7" t="str">
        <f>Plant_Database!B23</f>
        <v>OnshoreWind_North</v>
      </c>
      <c r="B23" s="7" t="str">
        <f>Plant_Database!D23</f>
        <v>Wind</v>
      </c>
      <c r="C23" s="7">
        <f>Plant_Database!E23</f>
        <v>18750</v>
      </c>
      <c r="D23" s="7">
        <f>IF(OR(B23="Wind"),Input_Parameters!$B$16,IF(B23="Solar",Input_Parameters!$B$17,Plant_Database!J23))</f>
        <v>45</v>
      </c>
      <c r="E23" s="7">
        <f t="shared" si="0"/>
        <v>8437.5</v>
      </c>
      <c r="F23" s="7">
        <f>Plant_Database!F23*IF(B23="Gas",Input_Parameters!$B$12,IF(B23="Coal",Input_Parameters!$B$13,1))</f>
        <v>0</v>
      </c>
      <c r="G23" s="7">
        <f>Plant_Database!G23</f>
        <v>0</v>
      </c>
      <c r="H23" s="7">
        <f>Input_Parameters!$B$11</f>
        <v>80</v>
      </c>
      <c r="I23" s="7">
        <f t="shared" si="1"/>
        <v>0</v>
      </c>
      <c r="J23" s="7">
        <f>Plant_Database!I23</f>
        <v>0.5</v>
      </c>
      <c r="K23" s="7">
        <f t="shared" si="2"/>
        <v>0.5</v>
      </c>
      <c r="L23" s="7">
        <f>SUM($E$2:E23)</f>
        <v>51570.119999999995</v>
      </c>
      <c r="M23" s="7">
        <f>Input_Parameters!$B$6</f>
        <v>65000</v>
      </c>
      <c r="N23" s="7" t="str">
        <f t="shared" si="3"/>
        <v>Yes</v>
      </c>
      <c r="O23" s="7">
        <f t="shared" si="4"/>
        <v>8437.5</v>
      </c>
      <c r="P23" s="7">
        <f t="shared" si="5"/>
        <v>1260562.5</v>
      </c>
      <c r="Q23" s="7">
        <f t="shared" si="6"/>
        <v>4218.75</v>
      </c>
      <c r="R23" s="7">
        <f t="shared" si="7"/>
        <v>1256343.75</v>
      </c>
      <c r="S23" s="7">
        <f t="shared" si="8"/>
        <v>0</v>
      </c>
    </row>
    <row r="24" spans="1:19" x14ac:dyDescent="0.35">
      <c r="A24" s="7" t="str">
        <f>Plant_Database!B24</f>
        <v>OnshoreWind_Central</v>
      </c>
      <c r="B24" s="7" t="str">
        <f>Plant_Database!D24</f>
        <v>Wind</v>
      </c>
      <c r="C24" s="7">
        <f>Plant_Database!E24</f>
        <v>15625</v>
      </c>
      <c r="D24" s="7">
        <f>IF(OR(B24="Wind"),Input_Parameters!$B$16,IF(B24="Solar",Input_Parameters!$B$17,Plant_Database!J24))</f>
        <v>45</v>
      </c>
      <c r="E24" s="7">
        <f t="shared" si="0"/>
        <v>7031.25</v>
      </c>
      <c r="F24" s="7">
        <f>Plant_Database!F24*IF(B24="Gas",Input_Parameters!$B$12,IF(B24="Coal",Input_Parameters!$B$13,1))</f>
        <v>0</v>
      </c>
      <c r="G24" s="7">
        <f>Plant_Database!G24</f>
        <v>0</v>
      </c>
      <c r="H24" s="7">
        <f>Input_Parameters!$B$11</f>
        <v>80</v>
      </c>
      <c r="I24" s="7">
        <f t="shared" si="1"/>
        <v>0</v>
      </c>
      <c r="J24" s="7">
        <f>Plant_Database!I24</f>
        <v>0.5</v>
      </c>
      <c r="K24" s="7">
        <f t="shared" si="2"/>
        <v>0.5</v>
      </c>
      <c r="L24" s="7">
        <f>SUM($E$2:E24)</f>
        <v>58601.369999999995</v>
      </c>
      <c r="M24" s="7">
        <f>Input_Parameters!$B$6</f>
        <v>65000</v>
      </c>
      <c r="N24" s="7" t="str">
        <f t="shared" si="3"/>
        <v>Yes</v>
      </c>
      <c r="O24" s="7">
        <f t="shared" si="4"/>
        <v>7031.25</v>
      </c>
      <c r="P24" s="7">
        <f t="shared" si="5"/>
        <v>1050468.75</v>
      </c>
      <c r="Q24" s="7">
        <f t="shared" si="6"/>
        <v>3515.625</v>
      </c>
      <c r="R24" s="7">
        <f t="shared" si="7"/>
        <v>1046953.125</v>
      </c>
      <c r="S24" s="7">
        <f t="shared" si="8"/>
        <v>0</v>
      </c>
    </row>
    <row r="25" spans="1:19" x14ac:dyDescent="0.35">
      <c r="A25" s="7" t="str">
        <f>Plant_Database!B25</f>
        <v>OnshoreWind_South</v>
      </c>
      <c r="B25" s="7" t="str">
        <f>Plant_Database!D25</f>
        <v>Wind</v>
      </c>
      <c r="C25" s="7">
        <f>Plant_Database!E25</f>
        <v>12500</v>
      </c>
      <c r="D25" s="7">
        <f>IF(OR(B25="Wind"),Input_Parameters!$B$16,IF(B25="Solar",Input_Parameters!$B$17,Plant_Database!J25))</f>
        <v>45</v>
      </c>
      <c r="E25" s="7">
        <f t="shared" si="0"/>
        <v>5625</v>
      </c>
      <c r="F25" s="7">
        <f>Plant_Database!F25*IF(B25="Gas",Input_Parameters!$B$12,IF(B25="Coal",Input_Parameters!$B$13,1))</f>
        <v>0</v>
      </c>
      <c r="G25" s="7">
        <f>Plant_Database!G25</f>
        <v>0</v>
      </c>
      <c r="H25" s="7">
        <f>Input_Parameters!$B$11</f>
        <v>80</v>
      </c>
      <c r="I25" s="7">
        <f t="shared" si="1"/>
        <v>0</v>
      </c>
      <c r="J25" s="7">
        <f>Plant_Database!I25</f>
        <v>0.5</v>
      </c>
      <c r="K25" s="7">
        <f t="shared" si="2"/>
        <v>0.5</v>
      </c>
      <c r="L25" s="7">
        <f>SUM($E$2:E25)</f>
        <v>64226.369999999995</v>
      </c>
      <c r="M25" s="7">
        <f>Input_Parameters!$B$6</f>
        <v>65000</v>
      </c>
      <c r="N25" s="7" t="str">
        <f t="shared" si="3"/>
        <v>Yes</v>
      </c>
      <c r="O25" s="7">
        <f t="shared" si="4"/>
        <v>5625</v>
      </c>
      <c r="P25" s="7">
        <f t="shared" si="5"/>
        <v>840375</v>
      </c>
      <c r="Q25" s="7">
        <f t="shared" si="6"/>
        <v>2812.5</v>
      </c>
      <c r="R25" s="7">
        <f t="shared" si="7"/>
        <v>837562.5</v>
      </c>
      <c r="S25" s="7">
        <f t="shared" si="8"/>
        <v>0</v>
      </c>
    </row>
    <row r="26" spans="1:19" x14ac:dyDescent="0.35">
      <c r="A26" s="7" t="str">
        <f>Plant_Database!B26</f>
        <v>OnshoreWind_East</v>
      </c>
      <c r="B26" s="7" t="str">
        <f>Plant_Database!D26</f>
        <v>Wind</v>
      </c>
      <c r="C26" s="7">
        <f>Plant_Database!E26</f>
        <v>14375</v>
      </c>
      <c r="D26" s="7">
        <f>IF(OR(B26="Wind"),Input_Parameters!$B$16,IF(B26="Solar",Input_Parameters!$B$17,Plant_Database!J26))</f>
        <v>45</v>
      </c>
      <c r="E26" s="7">
        <f t="shared" si="0"/>
        <v>6468.75</v>
      </c>
      <c r="F26" s="7">
        <f>Plant_Database!F26*IF(B26="Gas",Input_Parameters!$B$12,IF(B26="Coal",Input_Parameters!$B$13,1))</f>
        <v>0</v>
      </c>
      <c r="G26" s="7">
        <f>Plant_Database!G26</f>
        <v>0</v>
      </c>
      <c r="H26" s="7">
        <f>Input_Parameters!$B$11</f>
        <v>80</v>
      </c>
      <c r="I26" s="7">
        <f t="shared" si="1"/>
        <v>0</v>
      </c>
      <c r="J26" s="7">
        <f>Plant_Database!I26</f>
        <v>0.5</v>
      </c>
      <c r="K26" s="7">
        <f t="shared" si="2"/>
        <v>0.5</v>
      </c>
      <c r="L26" s="7">
        <f>SUM($E$2:E26)</f>
        <v>70695.12</v>
      </c>
      <c r="M26" s="7">
        <f>Input_Parameters!$B$6</f>
        <v>65000</v>
      </c>
      <c r="N26" s="7" t="str">
        <f t="shared" si="3"/>
        <v>Yes</v>
      </c>
      <c r="O26" s="7">
        <f t="shared" si="4"/>
        <v>773.63000000000466</v>
      </c>
      <c r="P26" s="7">
        <f t="shared" si="5"/>
        <v>115580.3220000007</v>
      </c>
      <c r="Q26" s="7">
        <f t="shared" si="6"/>
        <v>386.81500000000233</v>
      </c>
      <c r="R26" s="7">
        <f t="shared" si="7"/>
        <v>115193.5070000007</v>
      </c>
      <c r="S26" s="7">
        <f t="shared" si="8"/>
        <v>0</v>
      </c>
    </row>
    <row r="27" spans="1:19" x14ac:dyDescent="0.35">
      <c r="A27" s="7" t="str">
        <f>Plant_Database!B27</f>
        <v>OffshoreWind_NorthSea1</v>
      </c>
      <c r="B27" s="7" t="str">
        <f>Plant_Database!D27</f>
        <v>Wind</v>
      </c>
      <c r="C27" s="7">
        <f>Plant_Database!E27</f>
        <v>2592</v>
      </c>
      <c r="D27" s="7">
        <f>IF(OR(B27="Wind"),Input_Parameters!$B$16,IF(B27="Solar",Input_Parameters!$B$17,Plant_Database!J27))</f>
        <v>45</v>
      </c>
      <c r="E27" s="7">
        <f t="shared" si="0"/>
        <v>1166.4000000000001</v>
      </c>
      <c r="F27" s="7">
        <f>Plant_Database!F27*IF(B27="Gas",Input_Parameters!$B$12,IF(B27="Coal",Input_Parameters!$B$13,1))</f>
        <v>0</v>
      </c>
      <c r="G27" s="7">
        <f>Plant_Database!G27</f>
        <v>0</v>
      </c>
      <c r="H27" s="7">
        <f>Input_Parameters!$B$11</f>
        <v>80</v>
      </c>
      <c r="I27" s="7">
        <f t="shared" si="1"/>
        <v>0</v>
      </c>
      <c r="J27" s="7">
        <f>Plant_Database!I27</f>
        <v>1</v>
      </c>
      <c r="K27" s="7">
        <f t="shared" si="2"/>
        <v>1</v>
      </c>
      <c r="L27" s="7">
        <f>SUM($E$2:E27)</f>
        <v>71861.51999999999</v>
      </c>
      <c r="M27" s="7">
        <f>Input_Parameters!$B$6</f>
        <v>65000</v>
      </c>
      <c r="N27" s="7" t="str">
        <f t="shared" si="3"/>
        <v>No</v>
      </c>
      <c r="O27" s="7">
        <f t="shared" si="4"/>
        <v>0</v>
      </c>
      <c r="P27" s="7">
        <f t="shared" si="5"/>
        <v>0</v>
      </c>
      <c r="Q27" s="7">
        <f t="shared" si="6"/>
        <v>0</v>
      </c>
      <c r="R27" s="7">
        <f t="shared" si="7"/>
        <v>0</v>
      </c>
      <c r="S27" s="7">
        <f t="shared" si="8"/>
        <v>0</v>
      </c>
    </row>
    <row r="28" spans="1:19" x14ac:dyDescent="0.35">
      <c r="A28" s="7" t="str">
        <f>Plant_Database!B28</f>
        <v>OffshoreWind_NorthSea2</v>
      </c>
      <c r="B28" s="7" t="str">
        <f>Plant_Database!D28</f>
        <v>Wind</v>
      </c>
      <c r="C28" s="7">
        <f>Plant_Database!E28</f>
        <v>2268</v>
      </c>
      <c r="D28" s="7">
        <f>IF(OR(B28="Wind"),Input_Parameters!$B$16,IF(B28="Solar",Input_Parameters!$B$17,Plant_Database!J28))</f>
        <v>45</v>
      </c>
      <c r="E28" s="7">
        <f t="shared" si="0"/>
        <v>1020.6</v>
      </c>
      <c r="F28" s="7">
        <f>Plant_Database!F28*IF(B28="Gas",Input_Parameters!$B$12,IF(B28="Coal",Input_Parameters!$B$13,1))</f>
        <v>0</v>
      </c>
      <c r="G28" s="7">
        <f>Plant_Database!G28</f>
        <v>0</v>
      </c>
      <c r="H28" s="7">
        <f>Input_Parameters!$B$11</f>
        <v>80</v>
      </c>
      <c r="I28" s="7">
        <f t="shared" si="1"/>
        <v>0</v>
      </c>
      <c r="J28" s="7">
        <f>Plant_Database!I28</f>
        <v>1</v>
      </c>
      <c r="K28" s="7">
        <f t="shared" si="2"/>
        <v>1</v>
      </c>
      <c r="L28" s="7">
        <f>SUM($E$2:E28)</f>
        <v>72882.12</v>
      </c>
      <c r="M28" s="7">
        <f>Input_Parameters!$B$6</f>
        <v>65000</v>
      </c>
      <c r="N28" s="7" t="str">
        <f t="shared" si="3"/>
        <v>No</v>
      </c>
      <c r="O28" s="7">
        <f t="shared" si="4"/>
        <v>0</v>
      </c>
      <c r="P28" s="7">
        <f t="shared" si="5"/>
        <v>0</v>
      </c>
      <c r="Q28" s="7">
        <f t="shared" si="6"/>
        <v>0</v>
      </c>
      <c r="R28" s="7">
        <f t="shared" si="7"/>
        <v>0</v>
      </c>
      <c r="S28" s="7">
        <f t="shared" si="8"/>
        <v>0</v>
      </c>
    </row>
    <row r="29" spans="1:19" x14ac:dyDescent="0.35">
      <c r="A29" s="7" t="str">
        <f>Plant_Database!B29</f>
        <v>OffshoreWind_Baltic1</v>
      </c>
      <c r="B29" s="7" t="str">
        <f>Plant_Database!D29</f>
        <v>Wind</v>
      </c>
      <c r="C29" s="7">
        <f>Plant_Database!E29</f>
        <v>1944</v>
      </c>
      <c r="D29" s="7">
        <f>IF(OR(B29="Wind"),Input_Parameters!$B$16,IF(B29="Solar",Input_Parameters!$B$17,Plant_Database!J29))</f>
        <v>45</v>
      </c>
      <c r="E29" s="7">
        <f t="shared" si="0"/>
        <v>874.80000000000007</v>
      </c>
      <c r="F29" s="7">
        <f>Plant_Database!F29*IF(B29="Gas",Input_Parameters!$B$12,IF(B29="Coal",Input_Parameters!$B$13,1))</f>
        <v>0</v>
      </c>
      <c r="G29" s="7">
        <f>Plant_Database!G29</f>
        <v>0</v>
      </c>
      <c r="H29" s="7">
        <f>Input_Parameters!$B$11</f>
        <v>80</v>
      </c>
      <c r="I29" s="7">
        <f t="shared" si="1"/>
        <v>0</v>
      </c>
      <c r="J29" s="7">
        <f>Plant_Database!I29</f>
        <v>1</v>
      </c>
      <c r="K29" s="7">
        <f t="shared" si="2"/>
        <v>1</v>
      </c>
      <c r="L29" s="7">
        <f>SUM($E$2:E29)</f>
        <v>73756.92</v>
      </c>
      <c r="M29" s="7">
        <f>Input_Parameters!$B$6</f>
        <v>65000</v>
      </c>
      <c r="N29" s="7" t="str">
        <f t="shared" si="3"/>
        <v>No</v>
      </c>
      <c r="O29" s="7">
        <f t="shared" si="4"/>
        <v>0</v>
      </c>
      <c r="P29" s="7">
        <f t="shared" si="5"/>
        <v>0</v>
      </c>
      <c r="Q29" s="7">
        <f t="shared" si="6"/>
        <v>0</v>
      </c>
      <c r="R29" s="7">
        <f t="shared" si="7"/>
        <v>0</v>
      </c>
      <c r="S29" s="7">
        <f t="shared" si="8"/>
        <v>0</v>
      </c>
    </row>
    <row r="30" spans="1:19" x14ac:dyDescent="0.35">
      <c r="A30" s="7" t="str">
        <f>Plant_Database!B30</f>
        <v>OffshoreWind_Baltic2</v>
      </c>
      <c r="B30" s="7" t="str">
        <f>Plant_Database!D30</f>
        <v>Wind</v>
      </c>
      <c r="C30" s="7">
        <f>Plant_Database!E30</f>
        <v>1728</v>
      </c>
      <c r="D30" s="7">
        <f>IF(OR(B30="Wind"),Input_Parameters!$B$16,IF(B30="Solar",Input_Parameters!$B$17,Plant_Database!J30))</f>
        <v>45</v>
      </c>
      <c r="E30" s="7">
        <f t="shared" si="0"/>
        <v>777.6</v>
      </c>
      <c r="F30" s="7">
        <f>Plant_Database!F30*IF(B30="Gas",Input_Parameters!$B$12,IF(B30="Coal",Input_Parameters!$B$13,1))</f>
        <v>0</v>
      </c>
      <c r="G30" s="7">
        <f>Plant_Database!G30</f>
        <v>0</v>
      </c>
      <c r="H30" s="7">
        <f>Input_Parameters!$B$11</f>
        <v>80</v>
      </c>
      <c r="I30" s="7">
        <f t="shared" si="1"/>
        <v>0</v>
      </c>
      <c r="J30" s="7">
        <f>Plant_Database!I30</f>
        <v>1</v>
      </c>
      <c r="K30" s="7">
        <f t="shared" si="2"/>
        <v>1</v>
      </c>
      <c r="L30" s="7">
        <f>SUM($E$2:E30)</f>
        <v>74534.52</v>
      </c>
      <c r="M30" s="7">
        <f>Input_Parameters!$B$6</f>
        <v>65000</v>
      </c>
      <c r="N30" s="7" t="str">
        <f t="shared" si="3"/>
        <v>No</v>
      </c>
      <c r="O30" s="7">
        <f t="shared" si="4"/>
        <v>0</v>
      </c>
      <c r="P30" s="7">
        <f t="shared" si="5"/>
        <v>0</v>
      </c>
      <c r="Q30" s="7">
        <f t="shared" si="6"/>
        <v>0</v>
      </c>
      <c r="R30" s="7">
        <f t="shared" si="7"/>
        <v>0</v>
      </c>
      <c r="S30" s="7">
        <f t="shared" si="8"/>
        <v>0</v>
      </c>
    </row>
    <row r="31" spans="1:19" x14ac:dyDescent="0.35">
      <c r="A31" s="7" t="str">
        <f>Plant_Database!B31</f>
        <v>Solar_South_Bavaria</v>
      </c>
      <c r="B31" s="7" t="str">
        <f>Plant_Database!D31</f>
        <v>Solar</v>
      </c>
      <c r="C31" s="7">
        <f>Plant_Database!E31</f>
        <v>22400</v>
      </c>
      <c r="D31" s="7">
        <f>IF(OR(B31="Wind"),Input_Parameters!$B$16,IF(B31="Solar",Input_Parameters!$B$17,Plant_Database!J31))</f>
        <v>5</v>
      </c>
      <c r="E31" s="7">
        <f t="shared" si="0"/>
        <v>1120</v>
      </c>
      <c r="F31" s="7">
        <f>Plant_Database!F31*IF(B31="Gas",Input_Parameters!$B$12,IF(B31="Coal",Input_Parameters!$B$13,1))</f>
        <v>0</v>
      </c>
      <c r="G31" s="7">
        <f>Plant_Database!G31</f>
        <v>0</v>
      </c>
      <c r="H31" s="7">
        <f>Input_Parameters!$B$11</f>
        <v>80</v>
      </c>
      <c r="I31" s="7">
        <f t="shared" si="1"/>
        <v>0</v>
      </c>
      <c r="J31" s="7">
        <f>Plant_Database!I31</f>
        <v>0.2</v>
      </c>
      <c r="K31" s="7">
        <f t="shared" si="2"/>
        <v>0.2</v>
      </c>
      <c r="L31" s="7">
        <f>SUM($E$2:E31)</f>
        <v>75654.52</v>
      </c>
      <c r="M31" s="7">
        <f>Input_Parameters!$B$6</f>
        <v>65000</v>
      </c>
      <c r="N31" s="7" t="str">
        <f t="shared" si="3"/>
        <v>No</v>
      </c>
      <c r="O31" s="7">
        <f t="shared" si="4"/>
        <v>0</v>
      </c>
      <c r="P31" s="7">
        <f t="shared" si="5"/>
        <v>0</v>
      </c>
      <c r="Q31" s="7">
        <f t="shared" si="6"/>
        <v>0</v>
      </c>
      <c r="R31" s="7">
        <f t="shared" si="7"/>
        <v>0</v>
      </c>
      <c r="S31" s="7">
        <f t="shared" si="8"/>
        <v>0</v>
      </c>
    </row>
    <row r="32" spans="1:19" x14ac:dyDescent="0.35">
      <c r="A32" s="7" t="str">
        <f>Plant_Database!B32</f>
        <v>Solar_Southwest</v>
      </c>
      <c r="B32" s="7" t="str">
        <f>Plant_Database!D32</f>
        <v>Solar</v>
      </c>
      <c r="C32" s="7">
        <f>Plant_Database!E32</f>
        <v>20000</v>
      </c>
      <c r="D32" s="7">
        <f>IF(OR(B32="Wind"),Input_Parameters!$B$16,IF(B32="Solar",Input_Parameters!$B$17,Plant_Database!J32))</f>
        <v>5</v>
      </c>
      <c r="E32" s="7">
        <f t="shared" si="0"/>
        <v>1000</v>
      </c>
      <c r="F32" s="7">
        <f>Plant_Database!F32*IF(B32="Gas",Input_Parameters!$B$12,IF(B32="Coal",Input_Parameters!$B$13,1))</f>
        <v>0</v>
      </c>
      <c r="G32" s="7">
        <f>Plant_Database!G32</f>
        <v>0</v>
      </c>
      <c r="H32" s="7">
        <f>Input_Parameters!$B$11</f>
        <v>80</v>
      </c>
      <c r="I32" s="7">
        <f t="shared" si="1"/>
        <v>0</v>
      </c>
      <c r="J32" s="7">
        <f>Plant_Database!I32</f>
        <v>0.2</v>
      </c>
      <c r="K32" s="7">
        <f t="shared" si="2"/>
        <v>0.2</v>
      </c>
      <c r="L32" s="7">
        <f>SUM($E$2:E32)</f>
        <v>76654.52</v>
      </c>
      <c r="M32" s="7">
        <f>Input_Parameters!$B$6</f>
        <v>65000</v>
      </c>
      <c r="N32" s="7" t="str">
        <f t="shared" si="3"/>
        <v>No</v>
      </c>
      <c r="O32" s="7">
        <f t="shared" si="4"/>
        <v>0</v>
      </c>
      <c r="P32" s="7">
        <f t="shared" si="5"/>
        <v>0</v>
      </c>
      <c r="Q32" s="7">
        <f t="shared" si="6"/>
        <v>0</v>
      </c>
      <c r="R32" s="7">
        <f t="shared" si="7"/>
        <v>0</v>
      </c>
      <c r="S32" s="7">
        <f t="shared" si="8"/>
        <v>0</v>
      </c>
    </row>
    <row r="33" spans="1:19" x14ac:dyDescent="0.35">
      <c r="A33" s="7" t="str">
        <f>Plant_Database!B33</f>
        <v>Solar_Central</v>
      </c>
      <c r="B33" s="7" t="str">
        <f>Plant_Database!D33</f>
        <v>Solar</v>
      </c>
      <c r="C33" s="7">
        <f>Plant_Database!E33</f>
        <v>17600</v>
      </c>
      <c r="D33" s="7">
        <f>IF(OR(B33="Wind"),Input_Parameters!$B$16,IF(B33="Solar",Input_Parameters!$B$17,Plant_Database!J33))</f>
        <v>5</v>
      </c>
      <c r="E33" s="7">
        <f t="shared" si="0"/>
        <v>880</v>
      </c>
      <c r="F33" s="7">
        <f>Plant_Database!F33*IF(B33="Gas",Input_Parameters!$B$12,IF(B33="Coal",Input_Parameters!$B$13,1))</f>
        <v>0</v>
      </c>
      <c r="G33" s="7">
        <f>Plant_Database!G33</f>
        <v>0</v>
      </c>
      <c r="H33" s="7">
        <f>Input_Parameters!$B$11</f>
        <v>80</v>
      </c>
      <c r="I33" s="7">
        <f t="shared" si="1"/>
        <v>0</v>
      </c>
      <c r="J33" s="7">
        <f>Plant_Database!I33</f>
        <v>0.2</v>
      </c>
      <c r="K33" s="7">
        <f t="shared" si="2"/>
        <v>0.2</v>
      </c>
      <c r="L33" s="7">
        <f>SUM($E$2:E33)</f>
        <v>77534.52</v>
      </c>
      <c r="M33" s="7">
        <f>Input_Parameters!$B$6</f>
        <v>65000</v>
      </c>
      <c r="N33" s="7" t="str">
        <f t="shared" si="3"/>
        <v>No</v>
      </c>
      <c r="O33" s="7">
        <f t="shared" si="4"/>
        <v>0</v>
      </c>
      <c r="P33" s="7">
        <f t="shared" si="5"/>
        <v>0</v>
      </c>
      <c r="Q33" s="7">
        <f t="shared" si="6"/>
        <v>0</v>
      </c>
      <c r="R33" s="7">
        <f t="shared" si="7"/>
        <v>0</v>
      </c>
      <c r="S33" s="7">
        <f t="shared" si="8"/>
        <v>0</v>
      </c>
    </row>
    <row r="34" spans="1:19" x14ac:dyDescent="0.35">
      <c r="A34" s="7" t="str">
        <f>Plant_Database!B34</f>
        <v>Solar_East</v>
      </c>
      <c r="B34" s="7" t="str">
        <f>Plant_Database!D34</f>
        <v>Solar</v>
      </c>
      <c r="C34" s="7">
        <f>Plant_Database!E34</f>
        <v>16800</v>
      </c>
      <c r="D34" s="7">
        <f>IF(OR(B34="Wind"),Input_Parameters!$B$16,IF(B34="Solar",Input_Parameters!$B$17,Plant_Database!J34))</f>
        <v>5</v>
      </c>
      <c r="E34" s="7">
        <f t="shared" si="0"/>
        <v>840</v>
      </c>
      <c r="F34" s="7">
        <f>Plant_Database!F34*IF(B34="Gas",Input_Parameters!$B$12,IF(B34="Coal",Input_Parameters!$B$13,1))</f>
        <v>0</v>
      </c>
      <c r="G34" s="7">
        <f>Plant_Database!G34</f>
        <v>0</v>
      </c>
      <c r="H34" s="7">
        <f>Input_Parameters!$B$11</f>
        <v>80</v>
      </c>
      <c r="I34" s="7">
        <f t="shared" si="1"/>
        <v>0</v>
      </c>
      <c r="J34" s="7">
        <f>Plant_Database!I34</f>
        <v>0.2</v>
      </c>
      <c r="K34" s="7">
        <f t="shared" si="2"/>
        <v>0.2</v>
      </c>
      <c r="L34" s="7">
        <f>SUM($E$2:E34)</f>
        <v>78374.52</v>
      </c>
      <c r="M34" s="7">
        <f>Input_Parameters!$B$6</f>
        <v>65000</v>
      </c>
      <c r="N34" s="7" t="str">
        <f t="shared" si="3"/>
        <v>No</v>
      </c>
      <c r="O34" s="7">
        <f t="shared" si="4"/>
        <v>0</v>
      </c>
      <c r="P34" s="7">
        <f t="shared" si="5"/>
        <v>0</v>
      </c>
      <c r="Q34" s="7">
        <f t="shared" si="6"/>
        <v>0</v>
      </c>
      <c r="R34" s="7">
        <f t="shared" si="7"/>
        <v>0</v>
      </c>
      <c r="S34" s="7">
        <f t="shared" si="8"/>
        <v>0</v>
      </c>
    </row>
    <row r="35" spans="1:19" x14ac:dyDescent="0.35">
      <c r="A35" s="7" t="str">
        <f>Plant_Database!B35</f>
        <v>Solar_North</v>
      </c>
      <c r="B35" s="7" t="str">
        <f>Plant_Database!D35</f>
        <v>Solar</v>
      </c>
      <c r="C35" s="7">
        <f>Plant_Database!E35</f>
        <v>15200</v>
      </c>
      <c r="D35" s="7">
        <f>IF(OR(B35="Wind"),Input_Parameters!$B$16,IF(B35="Solar",Input_Parameters!$B$17,Plant_Database!J35))</f>
        <v>5</v>
      </c>
      <c r="E35" s="7">
        <f t="shared" si="0"/>
        <v>760</v>
      </c>
      <c r="F35" s="7">
        <f>Plant_Database!F35*IF(B35="Gas",Input_Parameters!$B$12,IF(B35="Coal",Input_Parameters!$B$13,1))</f>
        <v>0</v>
      </c>
      <c r="G35" s="7">
        <f>Plant_Database!G35</f>
        <v>0</v>
      </c>
      <c r="H35" s="7">
        <f>Input_Parameters!$B$11</f>
        <v>80</v>
      </c>
      <c r="I35" s="7">
        <f t="shared" si="1"/>
        <v>0</v>
      </c>
      <c r="J35" s="7">
        <f>Plant_Database!I35</f>
        <v>0.2</v>
      </c>
      <c r="K35" s="7">
        <f t="shared" si="2"/>
        <v>0.2</v>
      </c>
      <c r="L35" s="7">
        <f>SUM($E$2:E35)</f>
        <v>79134.52</v>
      </c>
      <c r="M35" s="7">
        <f>Input_Parameters!$B$6</f>
        <v>65000</v>
      </c>
      <c r="N35" s="7" t="str">
        <f t="shared" si="3"/>
        <v>No</v>
      </c>
      <c r="O35" s="7">
        <f t="shared" si="4"/>
        <v>0</v>
      </c>
      <c r="P35" s="7">
        <f t="shared" si="5"/>
        <v>0</v>
      </c>
      <c r="Q35" s="7">
        <f t="shared" si="6"/>
        <v>0</v>
      </c>
      <c r="R35" s="7">
        <f t="shared" si="7"/>
        <v>0</v>
      </c>
      <c r="S35" s="7">
        <f t="shared" si="8"/>
        <v>0</v>
      </c>
    </row>
    <row r="36" spans="1:19" x14ac:dyDescent="0.35">
      <c r="A36" s="7" t="str">
        <f>Plant_Database!B36</f>
        <v>Hydro_RunOfRiver_Rhine</v>
      </c>
      <c r="B36" s="7" t="str">
        <f>Plant_Database!D36</f>
        <v>Hydro</v>
      </c>
      <c r="C36" s="7">
        <f>Plant_Database!E36</f>
        <v>2800</v>
      </c>
      <c r="D36" s="7">
        <f>IF(OR(B36="Wind"),Input_Parameters!$B$16,IF(B36="Solar",Input_Parameters!$B$17,Plant_Database!J36))</f>
        <v>50</v>
      </c>
      <c r="E36" s="7">
        <f t="shared" si="0"/>
        <v>1400</v>
      </c>
      <c r="F36" s="7">
        <f>Plant_Database!F36*IF(B36="Gas",Input_Parameters!$B$12,IF(B36="Coal",Input_Parameters!$B$13,1))</f>
        <v>5</v>
      </c>
      <c r="G36" s="7">
        <f>Plant_Database!G36</f>
        <v>0</v>
      </c>
      <c r="H36" s="7">
        <f>Input_Parameters!$B$11</f>
        <v>80</v>
      </c>
      <c r="I36" s="7">
        <f t="shared" si="1"/>
        <v>0</v>
      </c>
      <c r="J36" s="7">
        <f>Plant_Database!I36</f>
        <v>0.5</v>
      </c>
      <c r="K36" s="7">
        <f t="shared" si="2"/>
        <v>5.5</v>
      </c>
      <c r="L36" s="7">
        <f>SUM($E$2:E36)</f>
        <v>80534.52</v>
      </c>
      <c r="M36" s="7">
        <f>Input_Parameters!$B$6</f>
        <v>65000</v>
      </c>
      <c r="N36" s="7" t="str">
        <f t="shared" si="3"/>
        <v>No</v>
      </c>
      <c r="O36" s="7">
        <f t="shared" si="4"/>
        <v>0</v>
      </c>
      <c r="P36" s="7">
        <f t="shared" si="5"/>
        <v>0</v>
      </c>
      <c r="Q36" s="7">
        <f t="shared" si="6"/>
        <v>0</v>
      </c>
      <c r="R36" s="7">
        <f t="shared" si="7"/>
        <v>0</v>
      </c>
      <c r="S36" s="7">
        <f t="shared" si="8"/>
        <v>0</v>
      </c>
    </row>
    <row r="37" spans="1:19" x14ac:dyDescent="0.35">
      <c r="A37" s="7" t="str">
        <f>Plant_Database!B37</f>
        <v>Hydro_RunOfRiver_Danube</v>
      </c>
      <c r="B37" s="7" t="str">
        <f>Plant_Database!D37</f>
        <v>Hydro</v>
      </c>
      <c r="C37" s="7">
        <f>Plant_Database!E37</f>
        <v>2200</v>
      </c>
      <c r="D37" s="7">
        <f>IF(OR(B37="Wind"),Input_Parameters!$B$16,IF(B37="Solar",Input_Parameters!$B$17,Plant_Database!J37))</f>
        <v>48</v>
      </c>
      <c r="E37" s="7">
        <f t="shared" si="0"/>
        <v>1056</v>
      </c>
      <c r="F37" s="7">
        <f>Plant_Database!F37*IF(B37="Gas",Input_Parameters!$B$12,IF(B37="Coal",Input_Parameters!$B$13,1))</f>
        <v>6</v>
      </c>
      <c r="G37" s="7">
        <f>Plant_Database!G37</f>
        <v>0</v>
      </c>
      <c r="H37" s="7">
        <f>Input_Parameters!$B$11</f>
        <v>80</v>
      </c>
      <c r="I37" s="7">
        <f t="shared" si="1"/>
        <v>0</v>
      </c>
      <c r="J37" s="7">
        <f>Plant_Database!I37</f>
        <v>0.5</v>
      </c>
      <c r="K37" s="7">
        <f t="shared" si="2"/>
        <v>6.5</v>
      </c>
      <c r="L37" s="7">
        <f>SUM($E$2:E37)</f>
        <v>81590.52</v>
      </c>
      <c r="M37" s="7">
        <f>Input_Parameters!$B$6</f>
        <v>65000</v>
      </c>
      <c r="N37" s="7" t="str">
        <f t="shared" si="3"/>
        <v>No</v>
      </c>
      <c r="O37" s="7">
        <f t="shared" si="4"/>
        <v>0</v>
      </c>
      <c r="P37" s="7">
        <f t="shared" si="5"/>
        <v>0</v>
      </c>
      <c r="Q37" s="7">
        <f t="shared" si="6"/>
        <v>0</v>
      </c>
      <c r="R37" s="7">
        <f t="shared" si="7"/>
        <v>0</v>
      </c>
      <c r="S37" s="7">
        <f t="shared" si="8"/>
        <v>0</v>
      </c>
    </row>
    <row r="38" spans="1:19" x14ac:dyDescent="0.35">
      <c r="A38" s="7" t="str">
        <f>Plant_Database!B38</f>
        <v>Hydro_PumpedStorage_Alps</v>
      </c>
      <c r="B38" s="7" t="str">
        <f>Plant_Database!D38</f>
        <v>Hydro</v>
      </c>
      <c r="C38" s="7">
        <f>Plant_Database!E38</f>
        <v>1800</v>
      </c>
      <c r="D38" s="7">
        <f>IF(OR(B38="Wind"),Input_Parameters!$B$16,IF(B38="Solar",Input_Parameters!$B$17,Plant_Database!J38))</f>
        <v>52</v>
      </c>
      <c r="E38" s="7">
        <f t="shared" si="0"/>
        <v>936</v>
      </c>
      <c r="F38" s="7">
        <f>Plant_Database!F38*IF(B38="Gas",Input_Parameters!$B$12,IF(B38="Coal",Input_Parameters!$B$13,1))</f>
        <v>4</v>
      </c>
      <c r="G38" s="7">
        <f>Plant_Database!G38</f>
        <v>0</v>
      </c>
      <c r="H38" s="7">
        <f>Input_Parameters!$B$11</f>
        <v>80</v>
      </c>
      <c r="I38" s="7">
        <f t="shared" si="1"/>
        <v>0</v>
      </c>
      <c r="J38" s="7">
        <f>Plant_Database!I38</f>
        <v>0.5</v>
      </c>
      <c r="K38" s="7">
        <f t="shared" si="2"/>
        <v>4.5</v>
      </c>
      <c r="L38" s="7">
        <f>SUM($E$2:E38)</f>
        <v>82526.52</v>
      </c>
      <c r="M38" s="7">
        <f>Input_Parameters!$B$6</f>
        <v>65000</v>
      </c>
      <c r="N38" s="7" t="str">
        <f t="shared" si="3"/>
        <v>No</v>
      </c>
      <c r="O38" s="7">
        <f t="shared" si="4"/>
        <v>0</v>
      </c>
      <c r="P38" s="7">
        <f t="shared" si="5"/>
        <v>0</v>
      </c>
      <c r="Q38" s="7">
        <f t="shared" si="6"/>
        <v>0</v>
      </c>
      <c r="R38" s="7">
        <f t="shared" si="7"/>
        <v>0</v>
      </c>
      <c r="S38" s="7">
        <f t="shared" si="8"/>
        <v>0</v>
      </c>
    </row>
    <row r="39" spans="1:19" x14ac:dyDescent="0.35">
      <c r="A39" s="7" t="str">
        <f>Plant_Database!B39</f>
        <v>Biomass_Agricultural</v>
      </c>
      <c r="B39" s="7" t="str">
        <f>Plant_Database!D39</f>
        <v>Biomass</v>
      </c>
      <c r="C39" s="7">
        <f>Plant_Database!E39</f>
        <v>3200</v>
      </c>
      <c r="D39" s="7">
        <f>IF(OR(B39="Wind"),Input_Parameters!$B$16,IF(B39="Solar",Input_Parameters!$B$17,Plant_Database!J39))</f>
        <v>80</v>
      </c>
      <c r="E39" s="7">
        <f t="shared" si="0"/>
        <v>2560</v>
      </c>
      <c r="F39" s="7">
        <f>Plant_Database!F39*IF(B39="Gas",Input_Parameters!$B$12,IF(B39="Coal",Input_Parameters!$B$13,1))</f>
        <v>50</v>
      </c>
      <c r="G39" s="7">
        <f>Plant_Database!G39</f>
        <v>0.1</v>
      </c>
      <c r="H39" s="7">
        <f>Input_Parameters!$B$11</f>
        <v>80</v>
      </c>
      <c r="I39" s="7">
        <f t="shared" si="1"/>
        <v>8</v>
      </c>
      <c r="J39" s="7">
        <f>Plant_Database!I39</f>
        <v>4.5</v>
      </c>
      <c r="K39" s="7">
        <f t="shared" si="2"/>
        <v>62.5</v>
      </c>
      <c r="L39" s="7">
        <f>SUM($E$2:E39)</f>
        <v>85086.52</v>
      </c>
      <c r="M39" s="7">
        <f>Input_Parameters!$B$6</f>
        <v>65000</v>
      </c>
      <c r="N39" s="7" t="str">
        <f t="shared" si="3"/>
        <v>No</v>
      </c>
      <c r="O39" s="7">
        <f t="shared" si="4"/>
        <v>0</v>
      </c>
      <c r="P39" s="7">
        <f t="shared" si="5"/>
        <v>0</v>
      </c>
      <c r="Q39" s="7">
        <f t="shared" si="6"/>
        <v>0</v>
      </c>
      <c r="R39" s="7">
        <f t="shared" si="7"/>
        <v>0</v>
      </c>
      <c r="S39" s="7">
        <f t="shared" si="8"/>
        <v>0</v>
      </c>
    </row>
    <row r="40" spans="1:19" x14ac:dyDescent="0.35">
      <c r="A40" s="7" t="str">
        <f>Plant_Database!B40</f>
        <v>Biomass_Forest</v>
      </c>
      <c r="B40" s="7" t="str">
        <f>Plant_Database!D40</f>
        <v>Biomass</v>
      </c>
      <c r="C40" s="7">
        <f>Plant_Database!E40</f>
        <v>2800</v>
      </c>
      <c r="D40" s="7">
        <f>IF(OR(B40="Wind"),Input_Parameters!$B$16,IF(B40="Solar",Input_Parameters!$B$17,Plant_Database!J40))</f>
        <v>78</v>
      </c>
      <c r="E40" s="7">
        <f t="shared" si="0"/>
        <v>2184</v>
      </c>
      <c r="F40" s="7">
        <f>Plant_Database!F40*IF(B40="Gas",Input_Parameters!$B$12,IF(B40="Coal",Input_Parameters!$B$13,1))</f>
        <v>52</v>
      </c>
      <c r="G40" s="7">
        <f>Plant_Database!G40</f>
        <v>0.12</v>
      </c>
      <c r="H40" s="7">
        <f>Input_Parameters!$B$11</f>
        <v>80</v>
      </c>
      <c r="I40" s="7">
        <f t="shared" si="1"/>
        <v>9.6</v>
      </c>
      <c r="J40" s="7">
        <f>Plant_Database!I40</f>
        <v>4.5</v>
      </c>
      <c r="K40" s="7">
        <f t="shared" si="2"/>
        <v>66.099999999999994</v>
      </c>
      <c r="L40" s="7">
        <f>SUM($E$2:E40)</f>
        <v>87270.52</v>
      </c>
      <c r="M40" s="7">
        <f>Input_Parameters!$B$6</f>
        <v>65000</v>
      </c>
      <c r="N40" s="7" t="str">
        <f t="shared" si="3"/>
        <v>No</v>
      </c>
      <c r="O40" s="7">
        <f t="shared" si="4"/>
        <v>0</v>
      </c>
      <c r="P40" s="7">
        <f t="shared" si="5"/>
        <v>0</v>
      </c>
      <c r="Q40" s="7">
        <f t="shared" si="6"/>
        <v>0</v>
      </c>
      <c r="R40" s="7">
        <f t="shared" si="7"/>
        <v>0</v>
      </c>
      <c r="S40" s="7">
        <f t="shared" si="8"/>
        <v>0</v>
      </c>
    </row>
    <row r="41" spans="1:19" x14ac:dyDescent="0.35">
      <c r="A41" s="7" t="str">
        <f>Plant_Database!B41</f>
        <v>Biomass_Waste</v>
      </c>
      <c r="B41" s="7" t="str">
        <f>Plant_Database!D41</f>
        <v>Biomass</v>
      </c>
      <c r="C41" s="7">
        <f>Plant_Database!E41</f>
        <v>2400</v>
      </c>
      <c r="D41" s="7">
        <f>IF(OR(B41="Wind"),Input_Parameters!$B$16,IF(B41="Solar",Input_Parameters!$B$17,Plant_Database!J41))</f>
        <v>82</v>
      </c>
      <c r="E41" s="7">
        <f t="shared" si="0"/>
        <v>1967.9999999999998</v>
      </c>
      <c r="F41" s="7">
        <f>Plant_Database!F41*IF(B41="Gas",Input_Parameters!$B$12,IF(B41="Coal",Input_Parameters!$B$13,1))</f>
        <v>48</v>
      </c>
      <c r="G41" s="7">
        <f>Plant_Database!G41</f>
        <v>0.08</v>
      </c>
      <c r="H41" s="7">
        <f>Input_Parameters!$B$11</f>
        <v>80</v>
      </c>
      <c r="I41" s="7">
        <f t="shared" si="1"/>
        <v>6.4</v>
      </c>
      <c r="J41" s="7">
        <f>Plant_Database!I41</f>
        <v>4.5</v>
      </c>
      <c r="K41" s="7">
        <f t="shared" si="2"/>
        <v>58.9</v>
      </c>
      <c r="L41" s="7">
        <f>SUM($E$2:E41)</f>
        <v>89238.52</v>
      </c>
      <c r="M41" s="7">
        <f>Input_Parameters!$B$6</f>
        <v>65000</v>
      </c>
      <c r="N41" s="7" t="str">
        <f t="shared" si="3"/>
        <v>No</v>
      </c>
      <c r="O41" s="7">
        <f t="shared" si="4"/>
        <v>0</v>
      </c>
      <c r="P41" s="7">
        <f t="shared" si="5"/>
        <v>0</v>
      </c>
      <c r="Q41" s="7">
        <f t="shared" si="6"/>
        <v>0</v>
      </c>
      <c r="R41" s="7">
        <f t="shared" si="7"/>
        <v>0</v>
      </c>
      <c r="S41" s="7">
        <f t="shared" si="8"/>
        <v>0</v>
      </c>
    </row>
  </sheetData>
  <autoFilter ref="A1:S41" xr:uid="{5C533E5A-C1C1-492A-B6B8-9FB151E00E92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54EF4-BC7A-439D-BF58-52E43139432C}">
  <dimension ref="A1:T100"/>
  <sheetViews>
    <sheetView topLeftCell="O1" workbookViewId="0">
      <selection activeCell="O18" sqref="O18"/>
    </sheetView>
  </sheetViews>
  <sheetFormatPr defaultRowHeight="14.5" x14ac:dyDescent="0.35"/>
  <cols>
    <col min="1" max="1" width="23.7265625" bestFit="1" customWidth="1"/>
    <col min="2" max="2" width="12.1796875" bestFit="1" customWidth="1"/>
    <col min="3" max="3" width="11.90625" bestFit="1" customWidth="1"/>
    <col min="4" max="4" width="11.81640625" bestFit="1" customWidth="1"/>
    <col min="5" max="5" width="20.1796875" bestFit="1" customWidth="1"/>
    <col min="6" max="6" width="8.90625" bestFit="1" customWidth="1"/>
    <col min="7" max="7" width="13.54296875" bestFit="1" customWidth="1"/>
    <col min="8" max="8" width="11.7265625" bestFit="1" customWidth="1"/>
    <col min="9" max="9" width="11.36328125" bestFit="1" customWidth="1"/>
    <col min="10" max="10" width="11.08984375" bestFit="1" customWidth="1"/>
    <col min="11" max="11" width="26.81640625" bestFit="1" customWidth="1"/>
    <col min="12" max="12" width="18.1796875" bestFit="1" customWidth="1"/>
    <col min="13" max="13" width="9.90625" bestFit="1" customWidth="1"/>
    <col min="14" max="14" width="20" bestFit="1" customWidth="1"/>
    <col min="15" max="15" width="16.08984375" bestFit="1" customWidth="1"/>
    <col min="16" max="16" width="13.26953125" bestFit="1" customWidth="1"/>
    <col min="17" max="17" width="10.81640625" bestFit="1" customWidth="1"/>
    <col min="18" max="18" width="11.26953125" bestFit="1" customWidth="1"/>
    <col min="19" max="19" width="13.6328125" bestFit="1" customWidth="1"/>
    <col min="20" max="20" width="11.08984375" bestFit="1" customWidth="1"/>
    <col min="21" max="21" width="11" bestFit="1" customWidth="1"/>
  </cols>
  <sheetData>
    <row r="1" spans="1:20" x14ac:dyDescent="0.35">
      <c r="A1" t="s">
        <v>1</v>
      </c>
      <c r="B1" t="s">
        <v>3</v>
      </c>
      <c r="C1" t="s">
        <v>4</v>
      </c>
      <c r="D1" t="s">
        <v>37</v>
      </c>
      <c r="E1" t="s">
        <v>38</v>
      </c>
      <c r="F1" t="s">
        <v>83</v>
      </c>
      <c r="G1" t="s">
        <v>84</v>
      </c>
      <c r="H1" t="s">
        <v>42</v>
      </c>
      <c r="I1" t="s">
        <v>85</v>
      </c>
      <c r="J1" t="s">
        <v>39</v>
      </c>
      <c r="K1" t="s">
        <v>88</v>
      </c>
      <c r="L1" t="s">
        <v>86</v>
      </c>
      <c r="M1" t="s">
        <v>40</v>
      </c>
      <c r="N1" t="s">
        <v>87</v>
      </c>
      <c r="O1" t="s">
        <v>41</v>
      </c>
      <c r="P1" t="s">
        <v>93</v>
      </c>
      <c r="Q1" t="s">
        <v>89</v>
      </c>
      <c r="R1" t="s">
        <v>94</v>
      </c>
      <c r="S1" t="s">
        <v>91</v>
      </c>
      <c r="T1" s="7" t="s">
        <v>92</v>
      </c>
    </row>
    <row r="2" spans="1:20" x14ac:dyDescent="0.35">
      <c r="A2" t="str" cm="1">
        <f t="array" ref="A2:K100">_xlfn._xlws.SORT(Data_Entry!A2:K100, 11, 1)</f>
        <v>Solar_South_Bavaria</v>
      </c>
      <c r="B2" t="str">
        <v>Solar</v>
      </c>
      <c r="C2">
        <v>22400</v>
      </c>
      <c r="D2">
        <v>5</v>
      </c>
      <c r="E2">
        <v>1120</v>
      </c>
      <c r="F2">
        <v>0</v>
      </c>
      <c r="G2">
        <v>0</v>
      </c>
      <c r="H2">
        <v>80</v>
      </c>
      <c r="I2">
        <v>0</v>
      </c>
      <c r="J2">
        <v>0.2</v>
      </c>
      <c r="K2">
        <v>0.2</v>
      </c>
      <c r="L2">
        <f>SUM($E$2:E2)</f>
        <v>1120</v>
      </c>
      <c r="M2">
        <f>Input_Parameters!$B$6</f>
        <v>65000</v>
      </c>
      <c r="N2" t="str">
        <f>IF(L2 - E2 &lt; Input_Parameters!$B$6, "Yes", "No")</f>
        <v>Yes</v>
      </c>
      <c r="O2">
        <f>IF(N2="Yes", MIN(E2, Input_Parameters!$B$6 - (L2 - E2)), 0)</f>
        <v>1120</v>
      </c>
      <c r="P2">
        <f>_xlfn.MAXIFS(K2:K100, N2:N100, "Yes")</f>
        <v>104.5</v>
      </c>
      <c r="Q2">
        <f>O2 * $P$2</f>
        <v>117040</v>
      </c>
      <c r="R2">
        <f>O2 * K2</f>
        <v>224</v>
      </c>
      <c r="S2">
        <f>Q2-R2</f>
        <v>116816</v>
      </c>
      <c r="T2">
        <f>O2 * G2</f>
        <v>0</v>
      </c>
    </row>
    <row r="3" spans="1:20" x14ac:dyDescent="0.35">
      <c r="A3" t="str">
        <v>Solar_Southwest</v>
      </c>
      <c r="B3" t="str">
        <v>Solar</v>
      </c>
      <c r="C3">
        <v>20000</v>
      </c>
      <c r="D3">
        <v>5</v>
      </c>
      <c r="E3">
        <v>1000</v>
      </c>
      <c r="F3">
        <v>0</v>
      </c>
      <c r="G3">
        <v>0</v>
      </c>
      <c r="H3">
        <v>80</v>
      </c>
      <c r="I3">
        <v>0</v>
      </c>
      <c r="J3">
        <v>0.2</v>
      </c>
      <c r="K3">
        <v>0.2</v>
      </c>
      <c r="L3">
        <f>SUM($E$2:E3)</f>
        <v>2120</v>
      </c>
      <c r="M3">
        <f>Input_Parameters!$B$6</f>
        <v>65000</v>
      </c>
      <c r="N3" t="str">
        <f>IF(L3 - E3 &lt; Input_Parameters!$B$6, "Yes", "No")</f>
        <v>Yes</v>
      </c>
      <c r="O3">
        <f>IF(N3="Yes", MIN(E3, Input_Parameters!$B$6 - (L3 - E3)), 0)</f>
        <v>1000</v>
      </c>
      <c r="P3">
        <f t="shared" ref="P3:P41" si="0">_xlfn.MAXIFS(K3:K101, N3:N101, "Yes")</f>
        <v>104.5</v>
      </c>
      <c r="Q3">
        <f t="shared" ref="Q3:Q41" si="1">O3 * $P$2</f>
        <v>104500</v>
      </c>
      <c r="R3">
        <f t="shared" ref="R3:R41" si="2">O3 * K3</f>
        <v>200</v>
      </c>
      <c r="S3">
        <f t="shared" ref="S3:S41" si="3">Q3-R3</f>
        <v>104300</v>
      </c>
      <c r="T3">
        <f t="shared" ref="T3:T66" si="4">O3 * G3</f>
        <v>0</v>
      </c>
    </row>
    <row r="4" spans="1:20" x14ac:dyDescent="0.35">
      <c r="A4" t="str">
        <v>Solar_Central</v>
      </c>
      <c r="B4" t="str">
        <v>Solar</v>
      </c>
      <c r="C4">
        <v>17600</v>
      </c>
      <c r="D4">
        <v>5</v>
      </c>
      <c r="E4">
        <v>880</v>
      </c>
      <c r="F4">
        <v>0</v>
      </c>
      <c r="G4">
        <v>0</v>
      </c>
      <c r="H4">
        <v>80</v>
      </c>
      <c r="I4">
        <v>0</v>
      </c>
      <c r="J4">
        <v>0.2</v>
      </c>
      <c r="K4">
        <v>0.2</v>
      </c>
      <c r="L4">
        <f>SUM($E$2:E4)</f>
        <v>3000</v>
      </c>
      <c r="M4">
        <f>Input_Parameters!$B$6</f>
        <v>65000</v>
      </c>
      <c r="N4" t="str">
        <f>IF(L4 - E4 &lt; Input_Parameters!$B$6, "Yes", "No")</f>
        <v>Yes</v>
      </c>
      <c r="O4">
        <f>IF(N4="Yes", MIN(E4, Input_Parameters!$B$6 - (L4 - E4)), 0)</f>
        <v>880</v>
      </c>
      <c r="P4">
        <f t="shared" si="0"/>
        <v>104.5</v>
      </c>
      <c r="Q4">
        <f t="shared" si="1"/>
        <v>91960</v>
      </c>
      <c r="R4">
        <f t="shared" si="2"/>
        <v>176</v>
      </c>
      <c r="S4">
        <f t="shared" si="3"/>
        <v>91784</v>
      </c>
      <c r="T4">
        <f t="shared" si="4"/>
        <v>0</v>
      </c>
    </row>
    <row r="5" spans="1:20" x14ac:dyDescent="0.35">
      <c r="A5" t="str">
        <v>Solar_East</v>
      </c>
      <c r="B5" t="str">
        <v>Solar</v>
      </c>
      <c r="C5">
        <v>16800</v>
      </c>
      <c r="D5">
        <v>5</v>
      </c>
      <c r="E5">
        <v>840</v>
      </c>
      <c r="F5">
        <v>0</v>
      </c>
      <c r="G5">
        <v>0</v>
      </c>
      <c r="H5">
        <v>80</v>
      </c>
      <c r="I5">
        <v>0</v>
      </c>
      <c r="J5">
        <v>0.2</v>
      </c>
      <c r="K5">
        <v>0.2</v>
      </c>
      <c r="L5">
        <f>SUM($E$2:E5)</f>
        <v>3840</v>
      </c>
      <c r="M5">
        <f>Input_Parameters!$B$6</f>
        <v>65000</v>
      </c>
      <c r="N5" t="str">
        <f>IF(L5 - E5 &lt; Input_Parameters!$B$6, "Yes", "No")</f>
        <v>Yes</v>
      </c>
      <c r="O5">
        <f>IF(N5="Yes", MIN(E5, Input_Parameters!$B$6 - (L5 - E5)), 0)</f>
        <v>840</v>
      </c>
      <c r="P5">
        <f t="shared" si="0"/>
        <v>104.5</v>
      </c>
      <c r="Q5">
        <f t="shared" si="1"/>
        <v>87780</v>
      </c>
      <c r="R5">
        <f t="shared" si="2"/>
        <v>168</v>
      </c>
      <c r="S5">
        <f t="shared" si="3"/>
        <v>87612</v>
      </c>
      <c r="T5">
        <f t="shared" si="4"/>
        <v>0</v>
      </c>
    </row>
    <row r="6" spans="1:20" x14ac:dyDescent="0.35">
      <c r="A6" t="str">
        <v>Solar_North</v>
      </c>
      <c r="B6" t="str">
        <v>Solar</v>
      </c>
      <c r="C6">
        <v>15200</v>
      </c>
      <c r="D6">
        <v>5</v>
      </c>
      <c r="E6">
        <v>760</v>
      </c>
      <c r="F6">
        <v>0</v>
      </c>
      <c r="G6">
        <v>0</v>
      </c>
      <c r="H6">
        <v>80</v>
      </c>
      <c r="I6">
        <v>0</v>
      </c>
      <c r="J6">
        <v>0.2</v>
      </c>
      <c r="K6">
        <v>0.2</v>
      </c>
      <c r="L6">
        <f>SUM($E$2:E6)</f>
        <v>4600</v>
      </c>
      <c r="M6">
        <f>Input_Parameters!$B$6</f>
        <v>65000</v>
      </c>
      <c r="N6" t="str">
        <f>IF(L6 - E6 &lt; Input_Parameters!$B$6, "Yes", "No")</f>
        <v>Yes</v>
      </c>
      <c r="O6">
        <f>IF(N6="Yes", MIN(E6, Input_Parameters!$B$6 - (L6 - E6)), 0)</f>
        <v>760</v>
      </c>
      <c r="P6">
        <f t="shared" si="0"/>
        <v>104.5</v>
      </c>
      <c r="Q6">
        <f t="shared" si="1"/>
        <v>79420</v>
      </c>
      <c r="R6">
        <f t="shared" si="2"/>
        <v>152</v>
      </c>
      <c r="S6">
        <f t="shared" si="3"/>
        <v>79268</v>
      </c>
      <c r="T6">
        <f t="shared" si="4"/>
        <v>0</v>
      </c>
    </row>
    <row r="7" spans="1:20" x14ac:dyDescent="0.35">
      <c r="A7" t="str">
        <v>OnshoreWind_North</v>
      </c>
      <c r="B7" t="str">
        <v>Wind</v>
      </c>
      <c r="C7">
        <v>18750</v>
      </c>
      <c r="D7">
        <v>45</v>
      </c>
      <c r="E7">
        <v>8437.5</v>
      </c>
      <c r="F7">
        <v>0</v>
      </c>
      <c r="G7">
        <v>0</v>
      </c>
      <c r="H7">
        <v>80</v>
      </c>
      <c r="I7">
        <v>0</v>
      </c>
      <c r="J7">
        <v>0.5</v>
      </c>
      <c r="K7">
        <v>0.5</v>
      </c>
      <c r="L7">
        <f>SUM($E$2:E7)</f>
        <v>13037.5</v>
      </c>
      <c r="M7">
        <f>Input_Parameters!$B$6</f>
        <v>65000</v>
      </c>
      <c r="N7" t="str">
        <f>IF(L7 - E7 &lt; Input_Parameters!$B$6, "Yes", "No")</f>
        <v>Yes</v>
      </c>
      <c r="O7">
        <f>IF(N7="Yes", MIN(E7, Input_Parameters!$B$6 - (L7 - E7)), 0)</f>
        <v>8437.5</v>
      </c>
      <c r="P7">
        <f t="shared" si="0"/>
        <v>104.5</v>
      </c>
      <c r="Q7">
        <f t="shared" si="1"/>
        <v>881718.75</v>
      </c>
      <c r="R7">
        <f t="shared" si="2"/>
        <v>4218.75</v>
      </c>
      <c r="S7">
        <f t="shared" si="3"/>
        <v>877500</v>
      </c>
      <c r="T7">
        <f t="shared" si="4"/>
        <v>0</v>
      </c>
    </row>
    <row r="8" spans="1:20" x14ac:dyDescent="0.35">
      <c r="A8" t="str">
        <v>OnshoreWind_Central</v>
      </c>
      <c r="B8" t="str">
        <v>Wind</v>
      </c>
      <c r="C8">
        <v>15625</v>
      </c>
      <c r="D8">
        <v>45</v>
      </c>
      <c r="E8">
        <v>7031.25</v>
      </c>
      <c r="F8">
        <v>0</v>
      </c>
      <c r="G8">
        <v>0</v>
      </c>
      <c r="H8">
        <v>80</v>
      </c>
      <c r="I8">
        <v>0</v>
      </c>
      <c r="J8">
        <v>0.5</v>
      </c>
      <c r="K8">
        <v>0.5</v>
      </c>
      <c r="L8">
        <f>SUM($E$2:E8)</f>
        <v>20068.75</v>
      </c>
      <c r="M8">
        <f>Input_Parameters!$B$6</f>
        <v>65000</v>
      </c>
      <c r="N8" t="str">
        <f>IF(L8 - E8 &lt; Input_Parameters!$B$6, "Yes", "No")</f>
        <v>Yes</v>
      </c>
      <c r="O8">
        <f>IF(N8="Yes", MIN(E8, Input_Parameters!$B$6 - (L8 - E8)), 0)</f>
        <v>7031.25</v>
      </c>
      <c r="P8">
        <f t="shared" si="0"/>
        <v>104.5</v>
      </c>
      <c r="Q8">
        <f t="shared" si="1"/>
        <v>734765.625</v>
      </c>
      <c r="R8">
        <f t="shared" si="2"/>
        <v>3515.625</v>
      </c>
      <c r="S8">
        <f t="shared" si="3"/>
        <v>731250</v>
      </c>
      <c r="T8">
        <f t="shared" si="4"/>
        <v>0</v>
      </c>
    </row>
    <row r="9" spans="1:20" x14ac:dyDescent="0.35">
      <c r="A9" t="str">
        <v>OnshoreWind_South</v>
      </c>
      <c r="B9" t="str">
        <v>Wind</v>
      </c>
      <c r="C9">
        <v>12500</v>
      </c>
      <c r="D9">
        <v>45</v>
      </c>
      <c r="E9">
        <v>5625</v>
      </c>
      <c r="F9">
        <v>0</v>
      </c>
      <c r="G9">
        <v>0</v>
      </c>
      <c r="H9">
        <v>80</v>
      </c>
      <c r="I9">
        <v>0</v>
      </c>
      <c r="J9">
        <v>0.5</v>
      </c>
      <c r="K9">
        <v>0.5</v>
      </c>
      <c r="L9">
        <f>SUM($E$2:E9)</f>
        <v>25693.75</v>
      </c>
      <c r="M9">
        <f>Input_Parameters!$B$6</f>
        <v>65000</v>
      </c>
      <c r="N9" t="str">
        <f>IF(L9 - E9 &lt; Input_Parameters!$B$6, "Yes", "No")</f>
        <v>Yes</v>
      </c>
      <c r="O9">
        <f>IF(N9="Yes", MIN(E9, Input_Parameters!$B$6 - (L9 - E9)), 0)</f>
        <v>5625</v>
      </c>
      <c r="P9">
        <f t="shared" si="0"/>
        <v>104.5</v>
      </c>
      <c r="Q9">
        <f t="shared" si="1"/>
        <v>587812.5</v>
      </c>
      <c r="R9">
        <f t="shared" si="2"/>
        <v>2812.5</v>
      </c>
      <c r="S9">
        <f t="shared" si="3"/>
        <v>585000</v>
      </c>
      <c r="T9">
        <f t="shared" si="4"/>
        <v>0</v>
      </c>
    </row>
    <row r="10" spans="1:20" x14ac:dyDescent="0.35">
      <c r="A10" t="str">
        <v>OnshoreWind_East</v>
      </c>
      <c r="B10" t="str">
        <v>Wind</v>
      </c>
      <c r="C10">
        <v>14375</v>
      </c>
      <c r="D10">
        <v>45</v>
      </c>
      <c r="E10">
        <v>6468.75</v>
      </c>
      <c r="F10">
        <v>0</v>
      </c>
      <c r="G10">
        <v>0</v>
      </c>
      <c r="H10">
        <v>80</v>
      </c>
      <c r="I10">
        <v>0</v>
      </c>
      <c r="J10">
        <v>0.5</v>
      </c>
      <c r="K10">
        <v>0.5</v>
      </c>
      <c r="L10">
        <f>SUM($E$2:E10)</f>
        <v>32162.5</v>
      </c>
      <c r="M10">
        <f>Input_Parameters!$B$6</f>
        <v>65000</v>
      </c>
      <c r="N10" t="str">
        <f>IF(L10 - E10 &lt; Input_Parameters!$B$6, "Yes", "No")</f>
        <v>Yes</v>
      </c>
      <c r="O10">
        <f>IF(N10="Yes", MIN(E10, Input_Parameters!$B$6 - (L10 - E10)), 0)</f>
        <v>6468.75</v>
      </c>
      <c r="P10">
        <f t="shared" si="0"/>
        <v>104.5</v>
      </c>
      <c r="Q10">
        <f t="shared" si="1"/>
        <v>675984.375</v>
      </c>
      <c r="R10">
        <f t="shared" si="2"/>
        <v>3234.375</v>
      </c>
      <c r="S10">
        <f t="shared" si="3"/>
        <v>672750</v>
      </c>
      <c r="T10">
        <f t="shared" si="4"/>
        <v>0</v>
      </c>
    </row>
    <row r="11" spans="1:20" x14ac:dyDescent="0.35">
      <c r="A11" t="str">
        <v>OffshoreWind_NorthSea1</v>
      </c>
      <c r="B11" t="str">
        <v>Wind</v>
      </c>
      <c r="C11">
        <v>2592</v>
      </c>
      <c r="D11">
        <v>45</v>
      </c>
      <c r="E11">
        <v>1166.4000000000001</v>
      </c>
      <c r="F11">
        <v>0</v>
      </c>
      <c r="G11">
        <v>0</v>
      </c>
      <c r="H11">
        <v>80</v>
      </c>
      <c r="I11">
        <v>0</v>
      </c>
      <c r="J11">
        <v>1</v>
      </c>
      <c r="K11">
        <v>1</v>
      </c>
      <c r="L11">
        <f>SUM($E$2:E11)</f>
        <v>33328.9</v>
      </c>
      <c r="M11">
        <f>Input_Parameters!$B$6</f>
        <v>65000</v>
      </c>
      <c r="N11" t="str">
        <f>IF(L11 - E11 &lt; Input_Parameters!$B$6, "Yes", "No")</f>
        <v>Yes</v>
      </c>
      <c r="O11">
        <f>IF(N11="Yes", MIN(E11, Input_Parameters!$B$6 - (L11 - E11)), 0)</f>
        <v>1166.4000000000001</v>
      </c>
      <c r="P11">
        <f t="shared" si="0"/>
        <v>104.5</v>
      </c>
      <c r="Q11">
        <f t="shared" si="1"/>
        <v>121888.8</v>
      </c>
      <c r="R11">
        <f t="shared" si="2"/>
        <v>1166.4000000000001</v>
      </c>
      <c r="S11">
        <f t="shared" si="3"/>
        <v>120722.40000000001</v>
      </c>
      <c r="T11">
        <f t="shared" si="4"/>
        <v>0</v>
      </c>
    </row>
    <row r="12" spans="1:20" x14ac:dyDescent="0.35">
      <c r="A12" t="str">
        <v>OffshoreWind_NorthSea2</v>
      </c>
      <c r="B12" t="str">
        <v>Wind</v>
      </c>
      <c r="C12">
        <v>2268</v>
      </c>
      <c r="D12">
        <v>45</v>
      </c>
      <c r="E12">
        <v>1020.6</v>
      </c>
      <c r="F12">
        <v>0</v>
      </c>
      <c r="G12">
        <v>0</v>
      </c>
      <c r="H12">
        <v>80</v>
      </c>
      <c r="I12">
        <v>0</v>
      </c>
      <c r="J12">
        <v>1</v>
      </c>
      <c r="K12">
        <v>1</v>
      </c>
      <c r="L12">
        <f>SUM($E$2:E12)</f>
        <v>34349.5</v>
      </c>
      <c r="M12">
        <f>Input_Parameters!$B$6</f>
        <v>65000</v>
      </c>
      <c r="N12" t="str">
        <f>IF(L12 - E12 &lt; Input_Parameters!$B$6, "Yes", "No")</f>
        <v>Yes</v>
      </c>
      <c r="O12">
        <f>IF(N12="Yes", MIN(E12, Input_Parameters!$B$6 - (L12 - E12)), 0)</f>
        <v>1020.6</v>
      </c>
      <c r="P12">
        <f t="shared" si="0"/>
        <v>104.5</v>
      </c>
      <c r="Q12">
        <f t="shared" si="1"/>
        <v>106652.7</v>
      </c>
      <c r="R12">
        <f t="shared" si="2"/>
        <v>1020.6</v>
      </c>
      <c r="S12">
        <f t="shared" si="3"/>
        <v>105632.09999999999</v>
      </c>
      <c r="T12">
        <f t="shared" si="4"/>
        <v>0</v>
      </c>
    </row>
    <row r="13" spans="1:20" x14ac:dyDescent="0.35">
      <c r="A13" t="str">
        <v>OffshoreWind_Baltic1</v>
      </c>
      <c r="B13" t="str">
        <v>Wind</v>
      </c>
      <c r="C13">
        <v>1944</v>
      </c>
      <c r="D13">
        <v>45</v>
      </c>
      <c r="E13">
        <v>874.80000000000007</v>
      </c>
      <c r="F13">
        <v>0</v>
      </c>
      <c r="G13">
        <v>0</v>
      </c>
      <c r="H13">
        <v>80</v>
      </c>
      <c r="I13">
        <v>0</v>
      </c>
      <c r="J13">
        <v>1</v>
      </c>
      <c r="K13">
        <v>1</v>
      </c>
      <c r="L13">
        <f>SUM($E$2:E13)</f>
        <v>35224.300000000003</v>
      </c>
      <c r="M13">
        <f>Input_Parameters!$B$6</f>
        <v>65000</v>
      </c>
      <c r="N13" t="str">
        <f>IF(L13 - E13 &lt; Input_Parameters!$B$6, "Yes", "No")</f>
        <v>Yes</v>
      </c>
      <c r="O13">
        <f>IF(N13="Yes", MIN(E13, Input_Parameters!$B$6 - (L13 - E13)), 0)</f>
        <v>874.80000000000007</v>
      </c>
      <c r="P13">
        <f t="shared" si="0"/>
        <v>104.5</v>
      </c>
      <c r="Q13">
        <f t="shared" si="1"/>
        <v>91416.6</v>
      </c>
      <c r="R13">
        <f t="shared" si="2"/>
        <v>874.80000000000007</v>
      </c>
      <c r="S13">
        <f t="shared" si="3"/>
        <v>90541.8</v>
      </c>
      <c r="T13">
        <f t="shared" si="4"/>
        <v>0</v>
      </c>
    </row>
    <row r="14" spans="1:20" x14ac:dyDescent="0.35">
      <c r="A14" t="str">
        <v>OffshoreWind_Baltic2</v>
      </c>
      <c r="B14" t="str">
        <v>Wind</v>
      </c>
      <c r="C14">
        <v>1728</v>
      </c>
      <c r="D14">
        <v>45</v>
      </c>
      <c r="E14">
        <v>777.6</v>
      </c>
      <c r="F14">
        <v>0</v>
      </c>
      <c r="G14">
        <v>0</v>
      </c>
      <c r="H14">
        <v>80</v>
      </c>
      <c r="I14">
        <v>0</v>
      </c>
      <c r="J14">
        <v>1</v>
      </c>
      <c r="K14">
        <v>1</v>
      </c>
      <c r="L14">
        <f>SUM($E$2:E14)</f>
        <v>36001.9</v>
      </c>
      <c r="M14">
        <f>Input_Parameters!$B$6</f>
        <v>65000</v>
      </c>
      <c r="N14" t="str">
        <f>IF(L14 - E14 &lt; Input_Parameters!$B$6, "Yes", "No")</f>
        <v>Yes</v>
      </c>
      <c r="O14">
        <f>IF(N14="Yes", MIN(E14, Input_Parameters!$B$6 - (L14 - E14)), 0)</f>
        <v>777.6</v>
      </c>
      <c r="P14">
        <f t="shared" si="0"/>
        <v>104.5</v>
      </c>
      <c r="Q14">
        <f t="shared" si="1"/>
        <v>81259.199999999997</v>
      </c>
      <c r="R14">
        <f t="shared" si="2"/>
        <v>777.6</v>
      </c>
      <c r="S14">
        <f t="shared" si="3"/>
        <v>80481.599999999991</v>
      </c>
      <c r="T14">
        <f t="shared" si="4"/>
        <v>0</v>
      </c>
    </row>
    <row r="15" spans="1:20" x14ac:dyDescent="0.35">
      <c r="A15" t="str">
        <v>Hydro_PumpedStorage_Alps</v>
      </c>
      <c r="B15" t="str">
        <v>Hydro</v>
      </c>
      <c r="C15">
        <v>1800</v>
      </c>
      <c r="D15">
        <v>52</v>
      </c>
      <c r="E15">
        <v>936</v>
      </c>
      <c r="F15">
        <v>4</v>
      </c>
      <c r="G15">
        <v>0</v>
      </c>
      <c r="H15">
        <v>80</v>
      </c>
      <c r="I15">
        <v>0</v>
      </c>
      <c r="J15">
        <v>0.5</v>
      </c>
      <c r="K15">
        <v>4.5</v>
      </c>
      <c r="L15">
        <f>SUM($E$2:E15)</f>
        <v>36937.9</v>
      </c>
      <c r="M15">
        <f>Input_Parameters!$B$6</f>
        <v>65000</v>
      </c>
      <c r="N15" t="str">
        <f>IF(L15 - E15 &lt; Input_Parameters!$B$6, "Yes", "No")</f>
        <v>Yes</v>
      </c>
      <c r="O15">
        <f>IF(N15="Yes", MIN(E15, Input_Parameters!$B$6 - (L15 - E15)), 0)</f>
        <v>936</v>
      </c>
      <c r="P15">
        <f t="shared" si="0"/>
        <v>104.5</v>
      </c>
      <c r="Q15">
        <f t="shared" si="1"/>
        <v>97812</v>
      </c>
      <c r="R15">
        <f t="shared" si="2"/>
        <v>4212</v>
      </c>
      <c r="S15">
        <f t="shared" si="3"/>
        <v>93600</v>
      </c>
      <c r="T15">
        <f t="shared" si="4"/>
        <v>0</v>
      </c>
    </row>
    <row r="16" spans="1:20" x14ac:dyDescent="0.35">
      <c r="A16" t="str">
        <v>Hydro_RunOfRiver_Rhine</v>
      </c>
      <c r="B16" t="str">
        <v>Hydro</v>
      </c>
      <c r="C16">
        <v>2800</v>
      </c>
      <c r="D16">
        <v>50</v>
      </c>
      <c r="E16">
        <v>1400</v>
      </c>
      <c r="F16">
        <v>5</v>
      </c>
      <c r="G16">
        <v>0</v>
      </c>
      <c r="H16">
        <v>80</v>
      </c>
      <c r="I16">
        <v>0</v>
      </c>
      <c r="J16">
        <v>0.5</v>
      </c>
      <c r="K16">
        <v>5.5</v>
      </c>
      <c r="L16">
        <f>SUM($E$2:E16)</f>
        <v>38337.9</v>
      </c>
      <c r="M16">
        <f>Input_Parameters!$B$6</f>
        <v>65000</v>
      </c>
      <c r="N16" t="str">
        <f>IF(L16 - E16 &lt; Input_Parameters!$B$6, "Yes", "No")</f>
        <v>Yes</v>
      </c>
      <c r="O16">
        <f>IF(N16="Yes", MIN(E16, Input_Parameters!$B$6 - (L16 - E16)), 0)</f>
        <v>1400</v>
      </c>
      <c r="P16">
        <f t="shared" si="0"/>
        <v>104.5</v>
      </c>
      <c r="Q16">
        <f t="shared" si="1"/>
        <v>146300</v>
      </c>
      <c r="R16">
        <f t="shared" si="2"/>
        <v>7700</v>
      </c>
      <c r="S16">
        <f t="shared" si="3"/>
        <v>138600</v>
      </c>
      <c r="T16">
        <f t="shared" si="4"/>
        <v>0</v>
      </c>
    </row>
    <row r="17" spans="1:20" x14ac:dyDescent="0.35">
      <c r="A17" t="str">
        <v>Hydro_RunOfRiver_Danube</v>
      </c>
      <c r="B17" t="str">
        <v>Hydro</v>
      </c>
      <c r="C17">
        <v>2200</v>
      </c>
      <c r="D17">
        <v>48</v>
      </c>
      <c r="E17">
        <v>1056</v>
      </c>
      <c r="F17">
        <v>6</v>
      </c>
      <c r="G17">
        <v>0</v>
      </c>
      <c r="H17">
        <v>80</v>
      </c>
      <c r="I17">
        <v>0</v>
      </c>
      <c r="J17">
        <v>0.5</v>
      </c>
      <c r="K17">
        <v>6.5</v>
      </c>
      <c r="L17">
        <f>SUM($E$2:E17)</f>
        <v>39393.9</v>
      </c>
      <c r="M17">
        <f>Input_Parameters!$B$6</f>
        <v>65000</v>
      </c>
      <c r="N17" t="str">
        <f>IF(L17 - E17 &lt; Input_Parameters!$B$6, "Yes", "No")</f>
        <v>Yes</v>
      </c>
      <c r="O17">
        <f>IF(N17="Yes", MIN(E17, Input_Parameters!$B$6 - (L17 - E17)), 0)</f>
        <v>1056</v>
      </c>
      <c r="P17">
        <f t="shared" si="0"/>
        <v>104.5</v>
      </c>
      <c r="Q17">
        <f t="shared" si="1"/>
        <v>110352</v>
      </c>
      <c r="R17">
        <f t="shared" si="2"/>
        <v>6864</v>
      </c>
      <c r="S17">
        <f t="shared" si="3"/>
        <v>103488</v>
      </c>
      <c r="T17">
        <f t="shared" si="4"/>
        <v>0</v>
      </c>
    </row>
    <row r="18" spans="1:20" x14ac:dyDescent="0.35">
      <c r="A18" t="str">
        <v>Biomass_Waste</v>
      </c>
      <c r="B18" t="str">
        <v>Biomass</v>
      </c>
      <c r="C18">
        <v>2400</v>
      </c>
      <c r="D18">
        <v>82</v>
      </c>
      <c r="E18">
        <v>1967.9999999999998</v>
      </c>
      <c r="F18">
        <v>48</v>
      </c>
      <c r="G18">
        <v>0.08</v>
      </c>
      <c r="H18">
        <v>80</v>
      </c>
      <c r="I18">
        <v>6.4</v>
      </c>
      <c r="J18">
        <v>4.5</v>
      </c>
      <c r="K18">
        <v>58.9</v>
      </c>
      <c r="L18">
        <f>SUM($E$2:E18)</f>
        <v>41361.9</v>
      </c>
      <c r="M18">
        <f>Input_Parameters!$B$6</f>
        <v>65000</v>
      </c>
      <c r="N18" t="str">
        <f>IF(L18 - E18 &lt; Input_Parameters!$B$6, "Yes", "No")</f>
        <v>Yes</v>
      </c>
      <c r="O18">
        <f>IF(N18="Yes", MIN(E18, Input_Parameters!$B$6 - (L18 - E18)), 0)</f>
        <v>1967.9999999999998</v>
      </c>
      <c r="P18">
        <f t="shared" si="0"/>
        <v>104.5</v>
      </c>
      <c r="Q18">
        <f t="shared" si="1"/>
        <v>205655.99999999997</v>
      </c>
      <c r="R18">
        <f t="shared" si="2"/>
        <v>115915.19999999998</v>
      </c>
      <c r="S18">
        <f t="shared" si="3"/>
        <v>89740.799999999988</v>
      </c>
      <c r="T18">
        <f t="shared" si="4"/>
        <v>157.44</v>
      </c>
    </row>
    <row r="19" spans="1:20" x14ac:dyDescent="0.35">
      <c r="A19" t="str">
        <v>Biomass_Agricultural</v>
      </c>
      <c r="B19" t="str">
        <v>Biomass</v>
      </c>
      <c r="C19">
        <v>3200</v>
      </c>
      <c r="D19">
        <v>80</v>
      </c>
      <c r="E19">
        <v>2560</v>
      </c>
      <c r="F19">
        <v>50</v>
      </c>
      <c r="G19">
        <v>0.1</v>
      </c>
      <c r="H19">
        <v>80</v>
      </c>
      <c r="I19">
        <v>8</v>
      </c>
      <c r="J19">
        <v>4.5</v>
      </c>
      <c r="K19">
        <v>62.5</v>
      </c>
      <c r="L19">
        <f>SUM($E$2:E19)</f>
        <v>43921.9</v>
      </c>
      <c r="M19">
        <f>Input_Parameters!$B$6</f>
        <v>65000</v>
      </c>
      <c r="N19" t="str">
        <f>IF(L19 - E19 &lt; Input_Parameters!$B$6, "Yes", "No")</f>
        <v>Yes</v>
      </c>
      <c r="O19">
        <f>IF(N19="Yes", MIN(E19, Input_Parameters!$B$6 - (L19 - E19)), 0)</f>
        <v>2560</v>
      </c>
      <c r="P19">
        <f t="shared" si="0"/>
        <v>104.5</v>
      </c>
      <c r="Q19">
        <f t="shared" si="1"/>
        <v>267520</v>
      </c>
      <c r="R19">
        <f t="shared" si="2"/>
        <v>160000</v>
      </c>
      <c r="S19">
        <f t="shared" si="3"/>
        <v>107520</v>
      </c>
      <c r="T19">
        <f t="shared" si="4"/>
        <v>256</v>
      </c>
    </row>
    <row r="20" spans="1:20" x14ac:dyDescent="0.35">
      <c r="A20" t="str">
        <v>Biomass_Forest</v>
      </c>
      <c r="B20" t="str">
        <v>Biomass</v>
      </c>
      <c r="C20">
        <v>2800</v>
      </c>
      <c r="D20">
        <v>78</v>
      </c>
      <c r="E20">
        <v>2184</v>
      </c>
      <c r="F20">
        <v>52</v>
      </c>
      <c r="G20">
        <v>0.12</v>
      </c>
      <c r="H20">
        <v>80</v>
      </c>
      <c r="I20">
        <v>9.6</v>
      </c>
      <c r="J20">
        <v>4.5</v>
      </c>
      <c r="K20">
        <v>66.099999999999994</v>
      </c>
      <c r="L20">
        <f>SUM($E$2:E20)</f>
        <v>46105.9</v>
      </c>
      <c r="M20">
        <f>Input_Parameters!$B$6</f>
        <v>65000</v>
      </c>
      <c r="N20" t="str">
        <f>IF(L20 - E20 &lt; Input_Parameters!$B$6, "Yes", "No")</f>
        <v>Yes</v>
      </c>
      <c r="O20">
        <f>IF(N20="Yes", MIN(E20, Input_Parameters!$B$6 - (L20 - E20)), 0)</f>
        <v>2184</v>
      </c>
      <c r="P20">
        <f t="shared" si="0"/>
        <v>104.5</v>
      </c>
      <c r="Q20">
        <f t="shared" si="1"/>
        <v>228228</v>
      </c>
      <c r="R20">
        <f t="shared" si="2"/>
        <v>144362.4</v>
      </c>
      <c r="S20">
        <f t="shared" si="3"/>
        <v>83865.600000000006</v>
      </c>
      <c r="T20">
        <f t="shared" si="4"/>
        <v>262.08</v>
      </c>
    </row>
    <row r="21" spans="1:20" x14ac:dyDescent="0.35">
      <c r="A21" t="str">
        <v>Lignite_Jaenschwalde</v>
      </c>
      <c r="B21" t="str">
        <v>Coal</v>
      </c>
      <c r="C21">
        <v>3000</v>
      </c>
      <c r="D21">
        <v>84</v>
      </c>
      <c r="E21">
        <v>2520</v>
      </c>
      <c r="F21">
        <v>5</v>
      </c>
      <c r="G21">
        <v>1.0900000000000001</v>
      </c>
      <c r="H21">
        <v>80</v>
      </c>
      <c r="I21">
        <v>87.2</v>
      </c>
      <c r="J21">
        <v>4</v>
      </c>
      <c r="K21">
        <v>96.2</v>
      </c>
      <c r="L21">
        <f>SUM($E$2:E21)</f>
        <v>48625.9</v>
      </c>
      <c r="M21">
        <f>Input_Parameters!$B$6</f>
        <v>65000</v>
      </c>
      <c r="N21" t="str">
        <f>IF(L21 - E21 &lt; Input_Parameters!$B$6, "Yes", "No")</f>
        <v>Yes</v>
      </c>
      <c r="O21">
        <f>IF(N21="Yes", MIN(E21, Input_Parameters!$B$6 - (L21 - E21)), 0)</f>
        <v>2520</v>
      </c>
      <c r="P21">
        <f t="shared" si="0"/>
        <v>104.5</v>
      </c>
      <c r="Q21">
        <f t="shared" si="1"/>
        <v>263340</v>
      </c>
      <c r="R21">
        <f t="shared" si="2"/>
        <v>242424</v>
      </c>
      <c r="S21">
        <f t="shared" si="3"/>
        <v>20916</v>
      </c>
      <c r="T21">
        <f t="shared" si="4"/>
        <v>2746.8</v>
      </c>
    </row>
    <row r="22" spans="1:20" x14ac:dyDescent="0.35">
      <c r="A22" t="str">
        <v>Lignite_Neurath</v>
      </c>
      <c r="B22" t="str">
        <v>Coal</v>
      </c>
      <c r="C22">
        <v>4400</v>
      </c>
      <c r="D22">
        <v>85</v>
      </c>
      <c r="E22">
        <v>3740</v>
      </c>
      <c r="F22">
        <v>5</v>
      </c>
      <c r="G22">
        <v>1.1000000000000001</v>
      </c>
      <c r="H22">
        <v>80</v>
      </c>
      <c r="I22">
        <v>88</v>
      </c>
      <c r="J22">
        <v>4</v>
      </c>
      <c r="K22">
        <v>97</v>
      </c>
      <c r="L22">
        <f>SUM($E$2:E22)</f>
        <v>52365.9</v>
      </c>
      <c r="M22">
        <f>Input_Parameters!$B$6</f>
        <v>65000</v>
      </c>
      <c r="N22" t="str">
        <f>IF(L22 - E22 &lt; Input_Parameters!$B$6, "Yes", "No")</f>
        <v>Yes</v>
      </c>
      <c r="O22">
        <f>IF(N22="Yes", MIN(E22, Input_Parameters!$B$6 - (L22 - E22)), 0)</f>
        <v>3740</v>
      </c>
      <c r="P22">
        <f t="shared" si="0"/>
        <v>104.5</v>
      </c>
      <c r="Q22">
        <f t="shared" si="1"/>
        <v>390830</v>
      </c>
      <c r="R22">
        <f t="shared" si="2"/>
        <v>362780</v>
      </c>
      <c r="S22">
        <f t="shared" si="3"/>
        <v>28050</v>
      </c>
      <c r="T22">
        <f t="shared" si="4"/>
        <v>4114</v>
      </c>
    </row>
    <row r="23" spans="1:20" x14ac:dyDescent="0.35">
      <c r="A23" t="str">
        <v>Lignite_BoxbergII</v>
      </c>
      <c r="B23" t="str">
        <v>Coal</v>
      </c>
      <c r="C23">
        <v>2575</v>
      </c>
      <c r="D23">
        <v>86</v>
      </c>
      <c r="E23">
        <v>2214.5</v>
      </c>
      <c r="F23">
        <v>5</v>
      </c>
      <c r="G23">
        <v>1.1100000000000001</v>
      </c>
      <c r="H23">
        <v>80</v>
      </c>
      <c r="I23">
        <v>88.800000000000011</v>
      </c>
      <c r="J23">
        <v>4</v>
      </c>
      <c r="K23">
        <v>97.800000000000011</v>
      </c>
      <c r="L23">
        <f>SUM($E$2:E23)</f>
        <v>54580.4</v>
      </c>
      <c r="M23">
        <f>Input_Parameters!$B$6</f>
        <v>65000</v>
      </c>
      <c r="N23" t="str">
        <f>IF(L23 - E23 &lt; Input_Parameters!$B$6, "Yes", "No")</f>
        <v>Yes</v>
      </c>
      <c r="O23">
        <f>IF(N23="Yes", MIN(E23, Input_Parameters!$B$6 - (L23 - E23)), 0)</f>
        <v>2214.5</v>
      </c>
      <c r="P23">
        <f t="shared" si="0"/>
        <v>104.5</v>
      </c>
      <c r="Q23">
        <f t="shared" si="1"/>
        <v>231415.25</v>
      </c>
      <c r="R23">
        <f t="shared" si="2"/>
        <v>216578.10000000003</v>
      </c>
      <c r="S23">
        <f t="shared" si="3"/>
        <v>14837.149999999965</v>
      </c>
      <c r="T23">
        <f t="shared" si="4"/>
        <v>2458.0950000000003</v>
      </c>
    </row>
    <row r="24" spans="1:20" x14ac:dyDescent="0.35">
      <c r="A24" t="str">
        <v>Lignite_Niederaussem</v>
      </c>
      <c r="B24" t="str">
        <v>Coal</v>
      </c>
      <c r="C24">
        <v>3864</v>
      </c>
      <c r="D24">
        <v>83</v>
      </c>
      <c r="E24">
        <v>3207.12</v>
      </c>
      <c r="F24">
        <v>5</v>
      </c>
      <c r="G24">
        <v>1.1200000000000001</v>
      </c>
      <c r="H24">
        <v>80</v>
      </c>
      <c r="I24">
        <v>89.600000000000009</v>
      </c>
      <c r="J24">
        <v>4</v>
      </c>
      <c r="K24">
        <v>98.600000000000009</v>
      </c>
      <c r="L24">
        <f>SUM($E$2:E24)</f>
        <v>57787.520000000004</v>
      </c>
      <c r="M24">
        <f>Input_Parameters!$B$6</f>
        <v>65000</v>
      </c>
      <c r="N24" t="str">
        <f>IF(L24 - E24 &lt; Input_Parameters!$B$6, "Yes", "No")</f>
        <v>Yes</v>
      </c>
      <c r="O24">
        <f>IF(N24="Yes", MIN(E24, Input_Parameters!$B$6 - (L24 - E24)), 0)</f>
        <v>3207.12</v>
      </c>
      <c r="P24">
        <f t="shared" si="0"/>
        <v>104.5</v>
      </c>
      <c r="Q24">
        <f t="shared" si="1"/>
        <v>335144.03999999998</v>
      </c>
      <c r="R24">
        <f t="shared" si="2"/>
        <v>316222.03200000001</v>
      </c>
      <c r="S24">
        <f t="shared" si="3"/>
        <v>18922.007999999973</v>
      </c>
      <c r="T24">
        <f t="shared" si="4"/>
        <v>3591.9744000000001</v>
      </c>
    </row>
    <row r="25" spans="1:20" x14ac:dyDescent="0.35">
      <c r="A25" t="str">
        <v>CCGT_Leipzig</v>
      </c>
      <c r="B25" t="str">
        <v>Gas</v>
      </c>
      <c r="C25">
        <v>1900</v>
      </c>
      <c r="D25">
        <v>91</v>
      </c>
      <c r="E25">
        <v>1729</v>
      </c>
      <c r="F25">
        <v>68</v>
      </c>
      <c r="G25">
        <v>0.39</v>
      </c>
      <c r="H25">
        <v>80</v>
      </c>
      <c r="I25">
        <v>31.200000000000003</v>
      </c>
      <c r="J25">
        <v>2.5</v>
      </c>
      <c r="K25">
        <v>101.7</v>
      </c>
      <c r="L25">
        <f>SUM($E$2:E25)</f>
        <v>59516.520000000004</v>
      </c>
      <c r="M25">
        <f>Input_Parameters!$B$6</f>
        <v>65000</v>
      </c>
      <c r="N25" t="str">
        <f>IF(L25 - E25 &lt; Input_Parameters!$B$6, "Yes", "No")</f>
        <v>Yes</v>
      </c>
      <c r="O25">
        <f>IF(N25="Yes", MIN(E25, Input_Parameters!$B$6 - (L25 - E25)), 0)</f>
        <v>1729</v>
      </c>
      <c r="P25">
        <f t="shared" si="0"/>
        <v>104.5</v>
      </c>
      <c r="Q25">
        <f t="shared" si="1"/>
        <v>180680.5</v>
      </c>
      <c r="R25">
        <f t="shared" si="2"/>
        <v>175839.30000000002</v>
      </c>
      <c r="S25">
        <f t="shared" si="3"/>
        <v>4841.1999999999825</v>
      </c>
      <c r="T25">
        <f t="shared" si="4"/>
        <v>674.31000000000006</v>
      </c>
    </row>
    <row r="26" spans="1:20" x14ac:dyDescent="0.35">
      <c r="A26" t="str">
        <v>CCGT_Herne</v>
      </c>
      <c r="B26" t="str">
        <v>Gas</v>
      </c>
      <c r="C26">
        <v>1520</v>
      </c>
      <c r="D26">
        <v>90</v>
      </c>
      <c r="E26">
        <v>1368</v>
      </c>
      <c r="F26">
        <v>69</v>
      </c>
      <c r="G26">
        <v>0.39</v>
      </c>
      <c r="H26">
        <v>80</v>
      </c>
      <c r="I26">
        <v>31.200000000000003</v>
      </c>
      <c r="J26">
        <v>2.5</v>
      </c>
      <c r="K26">
        <v>102.7</v>
      </c>
      <c r="L26">
        <f>SUM($E$2:E26)</f>
        <v>60884.520000000004</v>
      </c>
      <c r="M26">
        <f>Input_Parameters!$B$6</f>
        <v>65000</v>
      </c>
      <c r="N26" t="str">
        <f>IF(L26 - E26 &lt; Input_Parameters!$B$6, "Yes", "No")</f>
        <v>Yes</v>
      </c>
      <c r="O26">
        <f>IF(N26="Yes", MIN(E26, Input_Parameters!$B$6 - (L26 - E26)), 0)</f>
        <v>1368</v>
      </c>
      <c r="P26">
        <f t="shared" si="0"/>
        <v>104.5</v>
      </c>
      <c r="Q26">
        <f t="shared" si="1"/>
        <v>142956</v>
      </c>
      <c r="R26">
        <f t="shared" si="2"/>
        <v>140493.6</v>
      </c>
      <c r="S26">
        <f t="shared" si="3"/>
        <v>2462.3999999999942</v>
      </c>
      <c r="T26">
        <f t="shared" si="4"/>
        <v>533.52</v>
      </c>
    </row>
    <row r="27" spans="1:20" x14ac:dyDescent="0.35">
      <c r="A27" t="str">
        <v>CCGT_Irsching</v>
      </c>
      <c r="B27" t="str">
        <v>Gas</v>
      </c>
      <c r="C27">
        <v>3600</v>
      </c>
      <c r="D27">
        <v>90</v>
      </c>
      <c r="E27">
        <v>3240</v>
      </c>
      <c r="F27">
        <v>70</v>
      </c>
      <c r="G27">
        <v>0.4</v>
      </c>
      <c r="H27">
        <v>80</v>
      </c>
      <c r="I27">
        <v>32</v>
      </c>
      <c r="J27">
        <v>2.5</v>
      </c>
      <c r="K27">
        <v>104.5</v>
      </c>
      <c r="L27">
        <f>SUM($E$2:E27)</f>
        <v>64124.520000000004</v>
      </c>
      <c r="M27">
        <f>Input_Parameters!$B$6</f>
        <v>65000</v>
      </c>
      <c r="N27" t="str">
        <f>IF(L27 - E27 &lt; Input_Parameters!$B$6, "Yes", "No")</f>
        <v>Yes</v>
      </c>
      <c r="O27">
        <f>IF(N27="Yes", MIN(E27, Input_Parameters!$B$6 - (L27 - E27)), 0)</f>
        <v>3240</v>
      </c>
      <c r="P27">
        <f t="shared" si="0"/>
        <v>104.5</v>
      </c>
      <c r="Q27">
        <f t="shared" si="1"/>
        <v>338580</v>
      </c>
      <c r="R27">
        <f t="shared" si="2"/>
        <v>338580</v>
      </c>
      <c r="S27">
        <f t="shared" si="3"/>
        <v>0</v>
      </c>
      <c r="T27">
        <f t="shared" si="4"/>
        <v>1296</v>
      </c>
    </row>
    <row r="28" spans="1:20" x14ac:dyDescent="0.35">
      <c r="A28" t="str">
        <v>CCGT_Knapsack</v>
      </c>
      <c r="B28" t="str">
        <v>Gas</v>
      </c>
      <c r="C28">
        <v>1200</v>
      </c>
      <c r="D28">
        <v>89</v>
      </c>
      <c r="E28">
        <v>1068</v>
      </c>
      <c r="F28">
        <v>70</v>
      </c>
      <c r="G28">
        <v>0.4</v>
      </c>
      <c r="H28">
        <v>80</v>
      </c>
      <c r="I28">
        <v>32</v>
      </c>
      <c r="J28">
        <v>2.5</v>
      </c>
      <c r="K28">
        <v>104.5</v>
      </c>
      <c r="L28">
        <f>SUM($E$2:E28)</f>
        <v>65192.520000000004</v>
      </c>
      <c r="M28">
        <f>Input_Parameters!$B$6</f>
        <v>65000</v>
      </c>
      <c r="N28" t="str">
        <f>IF(L28 - E28 &lt; Input_Parameters!$B$6, "Yes", "No")</f>
        <v>Yes</v>
      </c>
      <c r="O28">
        <f>IF(N28="Yes", MIN(E28, Input_Parameters!$B$6 - (L28 - E28)), 0)</f>
        <v>875.47999999999593</v>
      </c>
      <c r="P28">
        <f t="shared" si="0"/>
        <v>104.5</v>
      </c>
      <c r="Q28">
        <f t="shared" si="1"/>
        <v>91487.659999999567</v>
      </c>
      <c r="R28">
        <f t="shared" si="2"/>
        <v>91487.659999999567</v>
      </c>
      <c r="S28">
        <f t="shared" si="3"/>
        <v>0</v>
      </c>
      <c r="T28">
        <f t="shared" si="4"/>
        <v>350.19199999999842</v>
      </c>
    </row>
    <row r="29" spans="1:20" x14ac:dyDescent="0.35">
      <c r="A29" t="str">
        <v>CCGT_GuD_Lausward</v>
      </c>
      <c r="B29" t="str">
        <v>Gas</v>
      </c>
      <c r="C29">
        <v>1700</v>
      </c>
      <c r="D29">
        <v>89</v>
      </c>
      <c r="E29">
        <v>1513</v>
      </c>
      <c r="F29">
        <v>71</v>
      </c>
      <c r="G29">
        <v>0.4</v>
      </c>
      <c r="H29">
        <v>80</v>
      </c>
      <c r="I29">
        <v>32</v>
      </c>
      <c r="J29">
        <v>2.5</v>
      </c>
      <c r="K29">
        <v>105.5</v>
      </c>
      <c r="L29">
        <f>SUM($E$2:E29)</f>
        <v>66705.52</v>
      </c>
      <c r="M29">
        <f>Input_Parameters!$B$6</f>
        <v>65000</v>
      </c>
      <c r="N29" t="str">
        <f>IF(L29 - E29 &lt; Input_Parameters!$B$6, "Yes", "No")</f>
        <v>No</v>
      </c>
      <c r="O29">
        <f>IF(N29="Yes", MIN(E29, Input_Parameters!$B$6 - (L29 - E29)), 0)</f>
        <v>0</v>
      </c>
      <c r="P29">
        <f t="shared" si="0"/>
        <v>0</v>
      </c>
      <c r="Q29">
        <f t="shared" si="1"/>
        <v>0</v>
      </c>
      <c r="R29">
        <f t="shared" si="2"/>
        <v>0</v>
      </c>
      <c r="S29">
        <f t="shared" si="3"/>
        <v>0</v>
      </c>
      <c r="T29">
        <f t="shared" si="4"/>
        <v>0</v>
      </c>
    </row>
    <row r="30" spans="1:20" x14ac:dyDescent="0.35">
      <c r="A30" t="str">
        <v>CCGT_Fortuna</v>
      </c>
      <c r="B30" t="str">
        <v>Gas</v>
      </c>
      <c r="C30">
        <v>2300</v>
      </c>
      <c r="D30">
        <v>88</v>
      </c>
      <c r="E30">
        <v>2024</v>
      </c>
      <c r="F30">
        <v>72</v>
      </c>
      <c r="G30">
        <v>0.41</v>
      </c>
      <c r="H30">
        <v>80</v>
      </c>
      <c r="I30">
        <v>32.799999999999997</v>
      </c>
      <c r="J30">
        <v>2.5</v>
      </c>
      <c r="K30">
        <v>107.3</v>
      </c>
      <c r="L30">
        <f>SUM($E$2:E30)</f>
        <v>68729.52</v>
      </c>
      <c r="M30">
        <f>Input_Parameters!$B$6</f>
        <v>65000</v>
      </c>
      <c r="N30" t="str">
        <f>IF(L30 - E30 &lt; Input_Parameters!$B$6, "Yes", "No")</f>
        <v>No</v>
      </c>
      <c r="O30">
        <f>IF(N30="Yes", MIN(E30, Input_Parameters!$B$6 - (L30 - E30)), 0)</f>
        <v>0</v>
      </c>
      <c r="P30">
        <f t="shared" si="0"/>
        <v>0</v>
      </c>
      <c r="Q30">
        <f t="shared" si="1"/>
        <v>0</v>
      </c>
      <c r="R30">
        <f t="shared" si="2"/>
        <v>0</v>
      </c>
      <c r="S30">
        <f t="shared" si="3"/>
        <v>0</v>
      </c>
      <c r="T30">
        <f t="shared" si="4"/>
        <v>0</v>
      </c>
    </row>
    <row r="31" spans="1:20" x14ac:dyDescent="0.35">
      <c r="A31" t="str">
        <v>CCGT_Hamm</v>
      </c>
      <c r="B31" t="str">
        <v>Gas</v>
      </c>
      <c r="C31">
        <v>800</v>
      </c>
      <c r="D31">
        <v>87</v>
      </c>
      <c r="E31">
        <v>696</v>
      </c>
      <c r="F31">
        <v>73</v>
      </c>
      <c r="G31">
        <v>0.41</v>
      </c>
      <c r="H31">
        <v>80</v>
      </c>
      <c r="I31">
        <v>32.799999999999997</v>
      </c>
      <c r="J31">
        <v>2.5</v>
      </c>
      <c r="K31">
        <v>108.3</v>
      </c>
      <c r="L31">
        <f>SUM($E$2:E31)</f>
        <v>69425.52</v>
      </c>
      <c r="M31">
        <f>Input_Parameters!$B$6</f>
        <v>65000</v>
      </c>
      <c r="N31" t="str">
        <f>IF(L31 - E31 &lt; Input_Parameters!$B$6, "Yes", "No")</f>
        <v>No</v>
      </c>
      <c r="O31">
        <f>IF(N31="Yes", MIN(E31, Input_Parameters!$B$6 - (L31 - E31)), 0)</f>
        <v>0</v>
      </c>
      <c r="P31">
        <f t="shared" si="0"/>
        <v>0</v>
      </c>
      <c r="Q31">
        <f t="shared" si="1"/>
        <v>0</v>
      </c>
      <c r="R31">
        <f t="shared" si="2"/>
        <v>0</v>
      </c>
      <c r="S31">
        <f t="shared" si="3"/>
        <v>0</v>
      </c>
      <c r="T31">
        <f t="shared" si="4"/>
        <v>0</v>
      </c>
    </row>
    <row r="32" spans="1:20" x14ac:dyDescent="0.35">
      <c r="A32" t="str">
        <v>HardCoal_Wilhelmshaven</v>
      </c>
      <c r="B32" t="str">
        <v>Coal</v>
      </c>
      <c r="C32">
        <v>3200</v>
      </c>
      <c r="D32">
        <v>89</v>
      </c>
      <c r="E32">
        <v>2848</v>
      </c>
      <c r="F32">
        <v>37</v>
      </c>
      <c r="G32">
        <v>0.89</v>
      </c>
      <c r="H32">
        <v>80</v>
      </c>
      <c r="I32">
        <v>71.2</v>
      </c>
      <c r="J32">
        <v>3.5</v>
      </c>
      <c r="K32">
        <v>111.7</v>
      </c>
      <c r="L32">
        <f>SUM($E$2:E32)</f>
        <v>72273.52</v>
      </c>
      <c r="M32">
        <f>Input_Parameters!$B$6</f>
        <v>65000</v>
      </c>
      <c r="N32" t="str">
        <f>IF(L32 - E32 &lt; Input_Parameters!$B$6, "Yes", "No")</f>
        <v>No</v>
      </c>
      <c r="O32">
        <f>IF(N32="Yes", MIN(E32, Input_Parameters!$B$6 - (L32 - E32)), 0)</f>
        <v>0</v>
      </c>
      <c r="P32">
        <f t="shared" si="0"/>
        <v>0</v>
      </c>
      <c r="Q32">
        <f t="shared" si="1"/>
        <v>0</v>
      </c>
      <c r="R32">
        <f t="shared" si="2"/>
        <v>0</v>
      </c>
      <c r="S32">
        <f t="shared" si="3"/>
        <v>0</v>
      </c>
      <c r="T32">
        <f t="shared" si="4"/>
        <v>0</v>
      </c>
    </row>
    <row r="33" spans="1:20" x14ac:dyDescent="0.35">
      <c r="A33" t="str">
        <v>HardCoal_Moorburg</v>
      </c>
      <c r="B33" t="str">
        <v>Coal</v>
      </c>
      <c r="C33">
        <v>4800</v>
      </c>
      <c r="D33">
        <v>88</v>
      </c>
      <c r="E33">
        <v>4224</v>
      </c>
      <c r="F33">
        <v>38</v>
      </c>
      <c r="G33">
        <v>0.9</v>
      </c>
      <c r="H33">
        <v>80</v>
      </c>
      <c r="I33">
        <v>72</v>
      </c>
      <c r="J33">
        <v>3.5</v>
      </c>
      <c r="K33">
        <v>113.5</v>
      </c>
      <c r="L33">
        <f>SUM($E$2:E33)</f>
        <v>76497.52</v>
      </c>
      <c r="M33">
        <f>Input_Parameters!$B$6</f>
        <v>65000</v>
      </c>
      <c r="N33" t="str">
        <f>IF(L33 - E33 &lt; Input_Parameters!$B$6, "Yes", "No")</f>
        <v>No</v>
      </c>
      <c r="O33">
        <f>IF(N33="Yes", MIN(E33, Input_Parameters!$B$6 - (L33 - E33)), 0)</f>
        <v>0</v>
      </c>
      <c r="P33">
        <f t="shared" si="0"/>
        <v>0</v>
      </c>
      <c r="Q33">
        <f t="shared" si="1"/>
        <v>0</v>
      </c>
      <c r="R33">
        <f t="shared" si="2"/>
        <v>0</v>
      </c>
      <c r="S33">
        <f t="shared" si="3"/>
        <v>0</v>
      </c>
      <c r="T33">
        <f t="shared" si="4"/>
        <v>0</v>
      </c>
    </row>
    <row r="34" spans="1:20" x14ac:dyDescent="0.35">
      <c r="A34" t="str">
        <v>HardCoal_Mehrum</v>
      </c>
      <c r="B34" t="str">
        <v>Coal</v>
      </c>
      <c r="C34">
        <v>2100</v>
      </c>
      <c r="D34">
        <v>85</v>
      </c>
      <c r="E34">
        <v>1785</v>
      </c>
      <c r="F34">
        <v>38</v>
      </c>
      <c r="G34">
        <v>0.9</v>
      </c>
      <c r="H34">
        <v>80</v>
      </c>
      <c r="I34">
        <v>72</v>
      </c>
      <c r="J34">
        <v>3.5</v>
      </c>
      <c r="K34">
        <v>113.5</v>
      </c>
      <c r="L34">
        <f>SUM($E$2:E34)</f>
        <v>78282.52</v>
      </c>
      <c r="M34">
        <f>Input_Parameters!$B$6</f>
        <v>65000</v>
      </c>
      <c r="N34" t="str">
        <f>IF(L34 - E34 &lt; Input_Parameters!$B$6, "Yes", "No")</f>
        <v>No</v>
      </c>
      <c r="O34">
        <f>IF(N34="Yes", MIN(E34, Input_Parameters!$B$6 - (L34 - E34)), 0)</f>
        <v>0</v>
      </c>
      <c r="P34">
        <f t="shared" si="0"/>
        <v>0</v>
      </c>
      <c r="Q34">
        <f t="shared" si="1"/>
        <v>0</v>
      </c>
      <c r="R34">
        <f t="shared" si="2"/>
        <v>0</v>
      </c>
      <c r="S34">
        <f t="shared" si="3"/>
        <v>0</v>
      </c>
      <c r="T34">
        <f t="shared" si="4"/>
        <v>0</v>
      </c>
    </row>
    <row r="35" spans="1:20" x14ac:dyDescent="0.35">
      <c r="A35" t="str">
        <v>HardCoal_Walsum</v>
      </c>
      <c r="B35" t="str">
        <v>Coal</v>
      </c>
      <c r="C35">
        <v>3500</v>
      </c>
      <c r="D35">
        <v>87</v>
      </c>
      <c r="E35">
        <v>3045</v>
      </c>
      <c r="F35">
        <v>39</v>
      </c>
      <c r="G35">
        <v>0.91</v>
      </c>
      <c r="H35">
        <v>80</v>
      </c>
      <c r="I35">
        <v>72.8</v>
      </c>
      <c r="J35">
        <v>3.5</v>
      </c>
      <c r="K35">
        <v>115.3</v>
      </c>
      <c r="L35">
        <f>SUM($E$2:E35)</f>
        <v>81327.520000000004</v>
      </c>
      <c r="M35">
        <f>Input_Parameters!$B$6</f>
        <v>65000</v>
      </c>
      <c r="N35" t="str">
        <f>IF(L35 - E35 &lt; Input_Parameters!$B$6, "Yes", "No")</f>
        <v>No</v>
      </c>
      <c r="O35">
        <f>IF(N35="Yes", MIN(E35, Input_Parameters!$B$6 - (L35 - E35)), 0)</f>
        <v>0</v>
      </c>
      <c r="P35">
        <f t="shared" si="0"/>
        <v>0</v>
      </c>
      <c r="Q35">
        <f t="shared" si="1"/>
        <v>0</v>
      </c>
      <c r="R35">
        <f t="shared" si="2"/>
        <v>0</v>
      </c>
      <c r="S35">
        <f t="shared" si="3"/>
        <v>0</v>
      </c>
      <c r="T35">
        <f t="shared" si="4"/>
        <v>0</v>
      </c>
    </row>
    <row r="36" spans="1:20" x14ac:dyDescent="0.35">
      <c r="A36" t="str">
        <v>HardCoal_Heyden</v>
      </c>
      <c r="B36" t="str">
        <v>Coal</v>
      </c>
      <c r="C36">
        <v>1200</v>
      </c>
      <c r="D36">
        <v>86</v>
      </c>
      <c r="E36">
        <v>1032</v>
      </c>
      <c r="F36">
        <v>39</v>
      </c>
      <c r="G36">
        <v>0.91</v>
      </c>
      <c r="H36">
        <v>80</v>
      </c>
      <c r="I36">
        <v>72.8</v>
      </c>
      <c r="J36">
        <v>3.5</v>
      </c>
      <c r="K36">
        <v>115.3</v>
      </c>
      <c r="L36">
        <f>SUM($E$2:E36)</f>
        <v>82359.520000000004</v>
      </c>
      <c r="M36">
        <f>Input_Parameters!$B$6</f>
        <v>65000</v>
      </c>
      <c r="N36" t="str">
        <f>IF(L36 - E36 &lt; Input_Parameters!$B$6, "Yes", "No")</f>
        <v>No</v>
      </c>
      <c r="O36">
        <f>IF(N36="Yes", MIN(E36, Input_Parameters!$B$6 - (L36 - E36)), 0)</f>
        <v>0</v>
      </c>
      <c r="P36">
        <f t="shared" si="0"/>
        <v>0</v>
      </c>
      <c r="Q36">
        <f t="shared" si="1"/>
        <v>0</v>
      </c>
      <c r="R36">
        <f t="shared" si="2"/>
        <v>0</v>
      </c>
      <c r="S36">
        <f t="shared" si="3"/>
        <v>0</v>
      </c>
      <c r="T36">
        <f t="shared" si="4"/>
        <v>0</v>
      </c>
    </row>
    <row r="37" spans="1:20" x14ac:dyDescent="0.35">
      <c r="A37" t="str">
        <v>HardCoal_Datteln</v>
      </c>
      <c r="B37" t="str">
        <v>Coal</v>
      </c>
      <c r="C37">
        <v>3200</v>
      </c>
      <c r="D37">
        <v>86</v>
      </c>
      <c r="E37">
        <v>2752</v>
      </c>
      <c r="F37">
        <v>40</v>
      </c>
      <c r="G37">
        <v>0.92</v>
      </c>
      <c r="H37">
        <v>80</v>
      </c>
      <c r="I37">
        <v>73.600000000000009</v>
      </c>
      <c r="J37">
        <v>3.5</v>
      </c>
      <c r="K37">
        <v>117.10000000000001</v>
      </c>
      <c r="L37">
        <f>SUM($E$2:E37)</f>
        <v>85111.52</v>
      </c>
      <c r="M37">
        <f>Input_Parameters!$B$6</f>
        <v>65000</v>
      </c>
      <c r="N37" t="str">
        <f>IF(L37 - E37 &lt; Input_Parameters!$B$6, "Yes", "No")</f>
        <v>No</v>
      </c>
      <c r="O37">
        <f>IF(N37="Yes", MIN(E37, Input_Parameters!$B$6 - (L37 - E37)), 0)</f>
        <v>0</v>
      </c>
      <c r="P37">
        <f t="shared" si="0"/>
        <v>0</v>
      </c>
      <c r="Q37">
        <f t="shared" si="1"/>
        <v>0</v>
      </c>
      <c r="R37">
        <f t="shared" si="2"/>
        <v>0</v>
      </c>
      <c r="S37">
        <f t="shared" si="3"/>
        <v>0</v>
      </c>
      <c r="T37">
        <f t="shared" si="4"/>
        <v>0</v>
      </c>
    </row>
    <row r="38" spans="1:20" x14ac:dyDescent="0.35">
      <c r="A38" t="str">
        <v>OCGT_Peak_North</v>
      </c>
      <c r="B38" t="str">
        <v>Gas Peaker</v>
      </c>
      <c r="C38">
        <v>1200</v>
      </c>
      <c r="D38">
        <v>92</v>
      </c>
      <c r="E38">
        <v>1104</v>
      </c>
      <c r="F38">
        <v>95</v>
      </c>
      <c r="G38">
        <v>0.55000000000000004</v>
      </c>
      <c r="H38">
        <v>80</v>
      </c>
      <c r="I38">
        <v>44</v>
      </c>
      <c r="J38">
        <v>3</v>
      </c>
      <c r="K38">
        <v>142</v>
      </c>
      <c r="L38">
        <f>SUM($E$2:E38)</f>
        <v>86215.52</v>
      </c>
      <c r="M38">
        <f>Input_Parameters!$B$6</f>
        <v>65000</v>
      </c>
      <c r="N38" t="str">
        <f>IF(L38 - E38 &lt; Input_Parameters!$B$6, "Yes", "No")</f>
        <v>No</v>
      </c>
      <c r="O38">
        <f>IF(N38="Yes", MIN(E38, Input_Parameters!$B$6 - (L38 - E38)), 0)</f>
        <v>0</v>
      </c>
      <c r="P38">
        <f t="shared" si="0"/>
        <v>0</v>
      </c>
      <c r="Q38">
        <f t="shared" si="1"/>
        <v>0</v>
      </c>
      <c r="R38">
        <f t="shared" si="2"/>
        <v>0</v>
      </c>
      <c r="S38">
        <f t="shared" si="3"/>
        <v>0</v>
      </c>
      <c r="T38">
        <f t="shared" si="4"/>
        <v>0</v>
      </c>
    </row>
    <row r="39" spans="1:20" x14ac:dyDescent="0.35">
      <c r="A39" t="str">
        <v>OCGT_Reserve_West</v>
      </c>
      <c r="B39" t="str">
        <v>Gas Peaker</v>
      </c>
      <c r="C39">
        <v>800</v>
      </c>
      <c r="D39">
        <v>91</v>
      </c>
      <c r="E39">
        <v>728</v>
      </c>
      <c r="F39">
        <v>96</v>
      </c>
      <c r="G39">
        <v>0.56000000000000005</v>
      </c>
      <c r="H39">
        <v>80</v>
      </c>
      <c r="I39">
        <v>44.800000000000004</v>
      </c>
      <c r="J39">
        <v>3</v>
      </c>
      <c r="K39">
        <v>143.80000000000001</v>
      </c>
      <c r="L39">
        <f>SUM($E$2:E39)</f>
        <v>86943.52</v>
      </c>
      <c r="M39">
        <f>Input_Parameters!$B$6</f>
        <v>65000</v>
      </c>
      <c r="N39" t="str">
        <f>IF(L39 - E39 &lt; Input_Parameters!$B$6, "Yes", "No")</f>
        <v>No</v>
      </c>
      <c r="O39">
        <f>IF(N39="Yes", MIN(E39, Input_Parameters!$B$6 - (L39 - E39)), 0)</f>
        <v>0</v>
      </c>
      <c r="P39">
        <f t="shared" si="0"/>
        <v>0</v>
      </c>
      <c r="Q39">
        <f t="shared" si="1"/>
        <v>0</v>
      </c>
      <c r="R39">
        <f t="shared" si="2"/>
        <v>0</v>
      </c>
      <c r="S39">
        <f t="shared" si="3"/>
        <v>0</v>
      </c>
      <c r="T39">
        <f t="shared" si="4"/>
        <v>0</v>
      </c>
    </row>
    <row r="40" spans="1:20" x14ac:dyDescent="0.35">
      <c r="A40" t="str">
        <v>OCGT_Peak_South</v>
      </c>
      <c r="B40" t="str">
        <v>Gas Peaker</v>
      </c>
      <c r="C40">
        <v>1000</v>
      </c>
      <c r="D40">
        <v>90</v>
      </c>
      <c r="E40">
        <v>900</v>
      </c>
      <c r="F40">
        <v>98</v>
      </c>
      <c r="G40">
        <v>0.56999999999999995</v>
      </c>
      <c r="H40">
        <v>80</v>
      </c>
      <c r="I40">
        <v>45.599999999999994</v>
      </c>
      <c r="J40">
        <v>3</v>
      </c>
      <c r="K40">
        <v>146.6</v>
      </c>
      <c r="L40">
        <f>SUM($E$2:E40)</f>
        <v>87843.520000000004</v>
      </c>
      <c r="M40">
        <f>Input_Parameters!$B$6</f>
        <v>65000</v>
      </c>
      <c r="N40" t="str">
        <f>IF(L40 - E40 &lt; Input_Parameters!$B$6, "Yes", "No")</f>
        <v>No</v>
      </c>
      <c r="O40">
        <f>IF(N40="Yes", MIN(E40, Input_Parameters!$B$6 - (L40 - E40)), 0)</f>
        <v>0</v>
      </c>
      <c r="P40">
        <f t="shared" si="0"/>
        <v>0</v>
      </c>
      <c r="Q40">
        <f t="shared" si="1"/>
        <v>0</v>
      </c>
      <c r="R40">
        <f t="shared" si="2"/>
        <v>0</v>
      </c>
      <c r="S40">
        <f t="shared" si="3"/>
        <v>0</v>
      </c>
      <c r="T40">
        <f t="shared" si="4"/>
        <v>0</v>
      </c>
    </row>
    <row r="41" spans="1:20" x14ac:dyDescent="0.35">
      <c r="A41" t="str">
        <v>OCGT_Grid_Stabilization</v>
      </c>
      <c r="B41" t="str">
        <v>Gas Peaker</v>
      </c>
      <c r="C41">
        <v>1500</v>
      </c>
      <c r="D41">
        <v>93</v>
      </c>
      <c r="E41">
        <v>1395</v>
      </c>
      <c r="F41">
        <v>100</v>
      </c>
      <c r="G41">
        <v>0.57999999999999996</v>
      </c>
      <c r="H41">
        <v>80</v>
      </c>
      <c r="I41">
        <v>46.4</v>
      </c>
      <c r="J41">
        <v>3</v>
      </c>
      <c r="K41">
        <v>149.4</v>
      </c>
      <c r="L41">
        <f>SUM($E$2:E41)</f>
        <v>89238.52</v>
      </c>
      <c r="M41">
        <f>Input_Parameters!$B$6</f>
        <v>65000</v>
      </c>
      <c r="N41" t="str">
        <f>IF(L41 - E41 &lt; Input_Parameters!$B$6, "Yes", "No")</f>
        <v>No</v>
      </c>
      <c r="O41">
        <f>IF(N41="Yes", MIN(E41, Input_Parameters!$B$6 - (L41 - E41)), 0)</f>
        <v>0</v>
      </c>
      <c r="P41">
        <f t="shared" si="0"/>
        <v>0</v>
      </c>
      <c r="Q41">
        <f t="shared" si="1"/>
        <v>0</v>
      </c>
      <c r="R41">
        <f t="shared" si="2"/>
        <v>0</v>
      </c>
      <c r="S41">
        <f t="shared" si="3"/>
        <v>0</v>
      </c>
      <c r="T41">
        <f t="shared" si="4"/>
        <v>0</v>
      </c>
    </row>
    <row r="42" spans="1:20" x14ac:dyDescent="0.3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20" x14ac:dyDescent="0.3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20" x14ac:dyDescent="0.3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20" x14ac:dyDescent="0.3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20" x14ac:dyDescent="0.3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20" x14ac:dyDescent="0.3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20" x14ac:dyDescent="0.3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3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3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3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3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 x14ac:dyDescent="0.3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 x14ac:dyDescent="0.3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3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 x14ac:dyDescent="0.3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 x14ac:dyDescent="0.3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 x14ac:dyDescent="0.3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x14ac:dyDescent="0.3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3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 x14ac:dyDescent="0.3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 x14ac:dyDescent="0.35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 x14ac:dyDescent="0.35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 x14ac:dyDescent="0.35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3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 x14ac:dyDescent="0.35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3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35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35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35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 x14ac:dyDescent="0.35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 x14ac:dyDescent="0.3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x14ac:dyDescent="0.35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 x14ac:dyDescent="0.35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x14ac:dyDescent="0.3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 x14ac:dyDescent="0.3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 x14ac:dyDescent="0.35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3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x14ac:dyDescent="0.35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 x14ac:dyDescent="0.35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35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x14ac:dyDescent="0.35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 x14ac:dyDescent="0.35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 x14ac:dyDescent="0.35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 x14ac:dyDescent="0.35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 x14ac:dyDescent="0.35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 x14ac:dyDescent="0.35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 x14ac:dyDescent="0.35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 x14ac:dyDescent="0.35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 x14ac:dyDescent="0.35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 x14ac:dyDescent="0.35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 x14ac:dyDescent="0.3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 x14ac:dyDescent="0.35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 x14ac:dyDescent="0.3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 x14ac:dyDescent="0.3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 x14ac:dyDescent="0.35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 x14ac:dyDescent="0.3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 x14ac:dyDescent="0.35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 x14ac:dyDescent="0.35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3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</sheetData>
  <autoFilter ref="A1:T100" xr:uid="{B2A54EF4-BC7A-439D-BF58-52E43139432C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219CE-F91F-4610-8853-B2E5F4FC6D0D}">
  <dimension ref="A1:M367"/>
  <sheetViews>
    <sheetView showGridLines="0" tabSelected="1" zoomScale="80" zoomScaleNormal="80" workbookViewId="0">
      <selection activeCell="Q5" sqref="Q5"/>
    </sheetView>
  </sheetViews>
  <sheetFormatPr defaultRowHeight="14.5" x14ac:dyDescent="0.35"/>
  <cols>
    <col min="1" max="1" width="25.453125" bestFit="1" customWidth="1"/>
    <col min="2" max="2" width="18.81640625" bestFit="1" customWidth="1"/>
    <col min="3" max="3" width="23.36328125" bestFit="1" customWidth="1"/>
    <col min="4" max="4" width="19.90625" bestFit="1" customWidth="1"/>
    <col min="5" max="5" width="19.36328125" customWidth="1"/>
    <col min="6" max="6" width="19.453125" bestFit="1" customWidth="1"/>
    <col min="7" max="7" width="14.26953125" customWidth="1"/>
    <col min="11" max="12" width="8.7265625" customWidth="1"/>
    <col min="13" max="13" width="8.453125" customWidth="1"/>
  </cols>
  <sheetData>
    <row r="1" spans="1:13" ht="30.5" x14ac:dyDescent="0.85">
      <c r="A1" s="15" t="s">
        <v>132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15.5" x14ac:dyDescent="0.35">
      <c r="A2" s="17" t="s">
        <v>133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8" x14ac:dyDescent="0.4">
      <c r="A3" s="16" t="str">
        <f>CONCATENATE("Current Scenario: ", Input_Parameters!B3)</f>
        <v>Current Scenario: Peak_Load_Winter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spans="1:13" ht="16" thickBot="1" x14ac:dyDescent="0.4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</row>
    <row r="5" spans="1:13" x14ac:dyDescent="0.35">
      <c r="A5" s="19" t="s">
        <v>134</v>
      </c>
      <c r="B5" s="20"/>
      <c r="C5" s="19" t="s">
        <v>136</v>
      </c>
      <c r="D5" s="20"/>
      <c r="E5" s="19" t="s">
        <v>138</v>
      </c>
      <c r="F5" s="20"/>
      <c r="G5" s="19" t="s">
        <v>140</v>
      </c>
      <c r="H5" s="20"/>
      <c r="I5" s="19" t="s">
        <v>141</v>
      </c>
      <c r="J5" s="20"/>
      <c r="K5" s="19" t="s">
        <v>143</v>
      </c>
      <c r="L5" s="32"/>
      <c r="M5" s="20"/>
    </row>
    <row r="6" spans="1:13" ht="30" x14ac:dyDescent="0.35">
      <c r="A6" s="22">
        <f>IFERROR(_xlfn.MAXIFS(Merit_Order!$K$2:$K$41,Merit_Order!$N$2:$N$41,"Yes"),"N/A")</f>
        <v>104.5</v>
      </c>
      <c r="B6" s="23"/>
      <c r="C6" s="24">
        <f>SUM(Merit_Order!$O$2:$O$41)</f>
        <v>65000</v>
      </c>
      <c r="D6" s="25"/>
      <c r="E6" s="26">
        <f>SUM(Merit_Order!$T$2:$T$41)</f>
        <v>16440.411399999997</v>
      </c>
      <c r="F6" s="27"/>
      <c r="G6" s="28">
        <f>SUM(Merit_Order!$E$2:$E$41)-Input_Parameters!$B$6</f>
        <v>24238.520000000004</v>
      </c>
      <c r="H6" s="29"/>
      <c r="I6" s="30" cm="1">
        <f t="array" ref="I6">SUM(SUMIFS(Merit_Order!$O$2:$O$41, Merit_Order!$B$2:$B$41, {"Solar","Wind","Hydro","Biomass"})) / SUM(Merit_Order!$O$2:$O$41)</f>
        <v>0.70932153846153834</v>
      </c>
      <c r="J6" s="31"/>
      <c r="K6" s="33">
        <f>SUM(Merit_Order!$S$2:$S$41)</f>
        <v>4450501.0580000002</v>
      </c>
      <c r="L6" s="34"/>
      <c r="M6" s="35"/>
    </row>
    <row r="7" spans="1:13" ht="15.5" customHeight="1" x14ac:dyDescent="0.35">
      <c r="A7" s="111" t="s">
        <v>135</v>
      </c>
      <c r="B7" s="112"/>
      <c r="C7" s="111" t="s">
        <v>137</v>
      </c>
      <c r="D7" s="112"/>
      <c r="E7" s="113" t="s">
        <v>139</v>
      </c>
      <c r="F7" s="112"/>
      <c r="G7" s="111" t="s">
        <v>137</v>
      </c>
      <c r="H7" s="112"/>
      <c r="I7" s="111" t="s">
        <v>142</v>
      </c>
      <c r="J7" s="112"/>
      <c r="K7" s="113" t="s">
        <v>144</v>
      </c>
      <c r="L7" s="114"/>
      <c r="M7" s="112"/>
    </row>
    <row r="8" spans="1:13" ht="15" thickBot="1" x14ac:dyDescent="0.4">
      <c r="A8" s="115" t="str">
        <f>"Set by " &amp; INDEX(Merit_Order!$B$2:$B$41,MATCH(0,Merit_Order!$S$2:$S$41,0))</f>
        <v>Set by Gas</v>
      </c>
      <c r="B8" s="116"/>
      <c r="C8" s="115" t="str">
        <f>IF(C6=Input_Parameters!$B$6,"✓ Balanced","⚠ Unbalanced")</f>
        <v>✓ Balanced</v>
      </c>
      <c r="D8" s="116"/>
      <c r="E8" s="115" t="str">
        <f>ROUND((E6*1000000)/(C6*1000),1) &amp; " g/kWh"</f>
        <v>252.9 g/kWh</v>
      </c>
      <c r="F8" s="116"/>
      <c r="G8" s="115" t="str">
        <f>TEXT(G6/Input_Parameters!$B$6,"0.0%") &amp; " of demand"</f>
        <v>37.3% of demand</v>
      </c>
      <c r="H8" s="116"/>
      <c r="I8" s="115" t="str">
        <f>TEXT(1-I6,"0.0%") &amp; " fossil"</f>
        <v>29.1% fossil</v>
      </c>
      <c r="J8" s="116"/>
      <c r="K8" s="115" t="str">
        <f>"Revenue: €" &amp; TEXT(SUM(Merit_Order!Q:Q)/1000,"#,##0k")</f>
        <v>Revenue: €6,793k</v>
      </c>
      <c r="L8" s="117"/>
      <c r="M8" s="116"/>
    </row>
    <row r="9" spans="1:13" ht="15.5" x14ac:dyDescent="0.3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</row>
    <row r="10" spans="1:13" ht="18.5" thickBot="1" x14ac:dyDescent="0.45">
      <c r="A10" s="36" t="s">
        <v>145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</row>
    <row r="11" spans="1:13" ht="16" thickBot="1" x14ac:dyDescent="0.4">
      <c r="A11" s="47" t="s">
        <v>3</v>
      </c>
      <c r="B11" s="48" t="s">
        <v>146</v>
      </c>
      <c r="C11" s="48" t="s">
        <v>147</v>
      </c>
      <c r="D11" s="48" t="s">
        <v>148</v>
      </c>
      <c r="E11" s="49" t="s">
        <v>149</v>
      </c>
      <c r="F11" s="18"/>
      <c r="G11" s="18"/>
      <c r="H11" s="18"/>
      <c r="I11" s="18"/>
      <c r="J11" s="18"/>
      <c r="K11" s="18"/>
      <c r="L11" s="18"/>
      <c r="M11" s="18"/>
    </row>
    <row r="12" spans="1:13" ht="15.5" x14ac:dyDescent="0.35">
      <c r="A12" s="50" t="s">
        <v>21</v>
      </c>
      <c r="B12" s="37">
        <f>IF(SUMIFS(Merit_Order!$O$2:$O$41,Merit_Order!$B$2:$B$41,"Solar")=0, NA(), SUMIFS(Merit_Order!$O$2:$O$41,Merit_Order!$B$2:$B$41,"Solar"))</f>
        <v>4600</v>
      </c>
      <c r="C12" s="38">
        <f>B12/$B$21</f>
        <v>7.0769230769230779E-2</v>
      </c>
      <c r="D12" s="39">
        <f>SUMIFS(Merit_Order!$Q$2:$Q$41,Merit_Order!$B$2:$B$41,"Solar")</f>
        <v>480700</v>
      </c>
      <c r="E12" s="51">
        <f>SUMIFS(Merit_Order!$S$2:$S$41,Merit_Order!$B$2:$B$41,"Solar")</f>
        <v>479780</v>
      </c>
      <c r="F12" s="18"/>
      <c r="G12" s="18"/>
      <c r="H12" s="18"/>
      <c r="I12" s="18"/>
      <c r="J12" s="18"/>
      <c r="K12" s="18"/>
      <c r="L12" s="18"/>
      <c r="M12" s="18"/>
    </row>
    <row r="13" spans="1:13" ht="15.5" x14ac:dyDescent="0.35">
      <c r="A13" s="21" t="s">
        <v>18</v>
      </c>
      <c r="B13" s="40">
        <f>SUMIFS(Merit_Order!$O$2:$O$41,Merit_Order!$B$2:$B$41,"Wind")</f>
        <v>31401.899999999998</v>
      </c>
      <c r="C13" s="41">
        <f>B13/$B$21</f>
        <v>0.48310615384615391</v>
      </c>
      <c r="D13" s="42">
        <f>SUMIFS(Merit_Order!$Q$2:$Q$41,Merit_Order!$B$2:$B$41,"Wind")</f>
        <v>3281498.5500000003</v>
      </c>
      <c r="E13" s="52">
        <f>SUMIFS(Merit_Order!$S$2:$S$41,Merit_Order!$B$2:$B$41,"Wind")</f>
        <v>3263877.9</v>
      </c>
      <c r="F13" s="18"/>
      <c r="G13" s="18"/>
      <c r="H13" s="18"/>
      <c r="I13" s="18"/>
      <c r="J13" s="18"/>
      <c r="K13" s="18"/>
      <c r="L13" s="18"/>
      <c r="M13" s="18"/>
    </row>
    <row r="14" spans="1:13" ht="15.5" x14ac:dyDescent="0.35">
      <c r="A14" s="21" t="s">
        <v>22</v>
      </c>
      <c r="B14" s="40">
        <f>SUMIFS(Merit_Order!$O$2:$O$41,Merit_Order!$B$2:$B$41,"Hydro")</f>
        <v>3392</v>
      </c>
      <c r="C14" s="41">
        <f>B14/$B$21</f>
        <v>5.2184615384615399E-2</v>
      </c>
      <c r="D14" s="42">
        <f>SUMIFS(Merit_Order!$Q$2:$Q$41,Merit_Order!$B$2:$B$41,"Hydro")</f>
        <v>354464</v>
      </c>
      <c r="E14" s="52">
        <f>SUMIFS(Merit_Order!$S$2:$S$41,Merit_Order!$B$2:$B$41,"Hydro")</f>
        <v>335688</v>
      </c>
      <c r="F14" s="18"/>
      <c r="G14" s="18"/>
      <c r="H14" s="18"/>
      <c r="I14" s="18"/>
      <c r="J14" s="18"/>
      <c r="K14" s="18"/>
      <c r="L14" s="18"/>
      <c r="M14" s="18"/>
    </row>
    <row r="15" spans="1:13" ht="15.5" x14ac:dyDescent="0.35">
      <c r="A15" s="21" t="s">
        <v>23</v>
      </c>
      <c r="B15" s="40">
        <f>SUMIFS(Merit_Order!$O$2:$O$41,Merit_Order!$B$2:$B$41,"Biomass")</f>
        <v>6712</v>
      </c>
      <c r="C15" s="41">
        <f>B15/$B$21</f>
        <v>0.10326153846153849</v>
      </c>
      <c r="D15" s="42">
        <f>SUMIFS(Merit_Order!$Q$2:$Q$41,Merit_Order!$B$2:$B$41,"Biomass")</f>
        <v>701404</v>
      </c>
      <c r="E15" s="52">
        <f>SUMIFS(Merit_Order!$S$2:$S$41,Merit_Order!$B$2:$B$41,"Biomass")</f>
        <v>281126.40000000002</v>
      </c>
      <c r="F15" s="18"/>
      <c r="G15" s="18"/>
      <c r="H15" s="18"/>
      <c r="I15" s="18"/>
      <c r="J15" s="18"/>
      <c r="K15" s="18"/>
      <c r="L15" s="18"/>
      <c r="M15" s="18"/>
    </row>
    <row r="16" spans="1:13" ht="15.5" x14ac:dyDescent="0.35">
      <c r="A16" s="21" t="s">
        <v>11</v>
      </c>
      <c r="B16" s="40">
        <f>SUMIFS(Merit_Order!$O$2:$O$41,Merit_Order!$B$2:$B$41,"Coal")</f>
        <v>11681.619999999999</v>
      </c>
      <c r="C16" s="41">
        <f>B16/$B$21</f>
        <v>0.1797172307692308</v>
      </c>
      <c r="D16" s="42">
        <f>SUMIFS(Merit_Order!$Q$2:$Q$41,Merit_Order!$B$2:$B$41,"Coal")</f>
        <v>1220729.29</v>
      </c>
      <c r="E16" s="52">
        <f>SUMIFS(Merit_Order!$S$2:$S$41,Merit_Order!$B$2:$B$41,"Coal")</f>
        <v>82725.157999999938</v>
      </c>
      <c r="F16" s="18"/>
      <c r="G16" s="18"/>
      <c r="H16" s="18"/>
      <c r="I16" s="18"/>
      <c r="J16" s="18"/>
      <c r="K16" s="18"/>
      <c r="L16" s="18"/>
      <c r="M16" s="18"/>
    </row>
    <row r="17" spans="1:13" ht="15.5" x14ac:dyDescent="0.35">
      <c r="A17" s="21" t="s">
        <v>14</v>
      </c>
      <c r="B17" s="40">
        <f>SUMIFS(Merit_Order!$O$2:$O$41,Merit_Order!$B$2:$B$41,"Gas")</f>
        <v>7212.4799999999959</v>
      </c>
      <c r="C17" s="41">
        <f>B17/$B$21</f>
        <v>0.11096123076923073</v>
      </c>
      <c r="D17" s="42">
        <f>SUMIFS(Merit_Order!$Q$2:$Q$41,Merit_Order!$B$2:$B$41,"Gas")</f>
        <v>753704.15999999957</v>
      </c>
      <c r="E17" s="52">
        <f>SUMIFS(Merit_Order!$S$2:$S$41,Merit_Order!$B$2:$B$41,"Gas")</f>
        <v>7303.5999999999767</v>
      </c>
      <c r="F17" s="18"/>
      <c r="G17" s="18"/>
      <c r="H17" s="18"/>
      <c r="I17" s="18"/>
      <c r="J17" s="18"/>
      <c r="K17" s="18"/>
      <c r="L17" s="18"/>
      <c r="M17" s="18"/>
    </row>
    <row r="18" spans="1:13" ht="15.5" x14ac:dyDescent="0.35">
      <c r="A18" s="21" t="s">
        <v>16</v>
      </c>
      <c r="B18" s="40">
        <f>SUMIFS(Merit_Order!$O$2:$O$41,Merit_Order!$B$2:$B$41,"Gas Peaker")</f>
        <v>0</v>
      </c>
      <c r="C18" s="41">
        <f>B18/$B$21</f>
        <v>0</v>
      </c>
      <c r="D18" s="42">
        <f>SUMIFS(Merit_Order!$Q$2:$Q$41,Merit_Order!$B$2:$B$41,"Gas Peaker")</f>
        <v>0</v>
      </c>
      <c r="E18" s="52">
        <f>SUMIFS(Merit_Order!$S$2:$S$41,Merit_Order!$B$2:$B$41,"Gas Peaker")</f>
        <v>0</v>
      </c>
      <c r="F18" s="18"/>
      <c r="G18" s="18"/>
      <c r="H18" s="18"/>
      <c r="I18" s="18"/>
      <c r="J18" s="18"/>
      <c r="K18" s="18"/>
      <c r="L18" s="18"/>
      <c r="M18" s="18"/>
    </row>
    <row r="19" spans="1:13" ht="15.5" x14ac:dyDescent="0.35">
      <c r="A19" s="21" t="s">
        <v>151</v>
      </c>
      <c r="B19" s="40">
        <f>SUMIFS(Merit_Order!$O$2:$O$41,Merit_Order!$B$2:$B$41,"Nuclear")</f>
        <v>0</v>
      </c>
      <c r="C19" s="41">
        <f t="shared" ref="C19" si="0">B19/$B$21</f>
        <v>0</v>
      </c>
      <c r="D19" s="42">
        <f>SUMIFS(Merit_Order!$Q$2:$Q$41,Merit_Order!$B$2:$B$41,"Nuclear")</f>
        <v>0</v>
      </c>
      <c r="E19" s="52">
        <f>SUMIFS(Merit_Order!$S$2:$S$41,Merit_Order!$B$2:$B$41,"Nuclear")</f>
        <v>0</v>
      </c>
      <c r="F19" s="18"/>
      <c r="G19" s="18"/>
      <c r="H19" s="18"/>
      <c r="I19" s="18"/>
      <c r="J19" s="18"/>
      <c r="K19" s="18"/>
      <c r="L19" s="18"/>
      <c r="M19" s="18"/>
    </row>
    <row r="20" spans="1:13" ht="16" thickBot="1" x14ac:dyDescent="0.4">
      <c r="A20" s="21"/>
      <c r="B20" s="40"/>
      <c r="C20" s="41"/>
      <c r="D20" s="42"/>
      <c r="E20" s="52"/>
      <c r="F20" s="18"/>
      <c r="G20" s="18"/>
      <c r="H20" s="18"/>
      <c r="I20" s="18"/>
      <c r="J20" s="18"/>
      <c r="K20" s="18"/>
      <c r="L20" s="18"/>
      <c r="M20" s="18"/>
    </row>
    <row r="21" spans="1:13" ht="16" thickBot="1" x14ac:dyDescent="0.4">
      <c r="A21" s="54" t="s">
        <v>150</v>
      </c>
      <c r="B21" s="43">
        <f>SUM(B12:B19)</f>
        <v>64999.999999999985</v>
      </c>
      <c r="C21" s="44">
        <f>SUM(C12:C19)</f>
        <v>1</v>
      </c>
      <c r="D21" s="45">
        <f>SUM(D12:D19)</f>
        <v>6792500</v>
      </c>
      <c r="E21" s="46">
        <f>SUM(E12:E19)</f>
        <v>4450501.0579999993</v>
      </c>
      <c r="F21" s="18"/>
      <c r="G21" s="18"/>
      <c r="H21" s="18"/>
      <c r="I21" s="18"/>
      <c r="J21" s="18"/>
      <c r="K21" s="18"/>
      <c r="L21" s="18"/>
      <c r="M21" s="18"/>
    </row>
    <row r="22" spans="1:13" ht="15.5" x14ac:dyDescent="0.3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</row>
    <row r="23" spans="1:13" ht="18.5" thickBot="1" x14ac:dyDescent="0.45">
      <c r="A23" s="53" t="s">
        <v>152</v>
      </c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</row>
    <row r="24" spans="1:13" ht="15.5" x14ac:dyDescent="0.35">
      <c r="A24" s="61" t="s">
        <v>153</v>
      </c>
      <c r="B24" s="62">
        <f>(SUM(Merit_Order!$T$2:$T$41)*1000000)/(SUM(Merit_Order!$O$2:$O$41)*1000)</f>
        <v>252.92940615384612</v>
      </c>
      <c r="C24" s="63" t="s">
        <v>154</v>
      </c>
      <c r="D24" s="64" t="str">
        <f>IF(B24&lt;350,"✓ Below EU Target","⚠ Above Target")</f>
        <v>✓ Below EU Target</v>
      </c>
      <c r="E24" s="18"/>
      <c r="F24" s="18"/>
      <c r="G24" s="18"/>
      <c r="H24" s="18"/>
      <c r="I24" s="18"/>
      <c r="J24" s="18"/>
      <c r="K24" s="18"/>
      <c r="L24" s="18"/>
      <c r="M24" s="18"/>
    </row>
    <row r="25" spans="1:13" ht="15.5" x14ac:dyDescent="0.35">
      <c r="A25" s="65" t="s">
        <v>138</v>
      </c>
      <c r="B25" s="58">
        <f>SUM(Merit_Order!$T$2:$T$41)</f>
        <v>16440.411399999997</v>
      </c>
      <c r="C25" s="57" t="s">
        <v>155</v>
      </c>
      <c r="D25" s="66">
        <f>SUMPRODUCT(Merit_Order!$I$2:$I$41,Merit_Order!$O$2:$O$41)</f>
        <v>1315232.912</v>
      </c>
      <c r="E25" s="18"/>
      <c r="F25" s="18"/>
      <c r="G25" s="18"/>
      <c r="H25" s="18"/>
      <c r="I25" s="18"/>
      <c r="J25" s="18"/>
      <c r="K25" s="18"/>
      <c r="L25" s="18"/>
      <c r="M25" s="18"/>
    </row>
    <row r="26" spans="1:13" ht="15.5" x14ac:dyDescent="0.35">
      <c r="A26" s="67" t="s">
        <v>156</v>
      </c>
      <c r="B26" s="59">
        <f>SUMIFS(Merit_Order!$O$2:$O$41,Merit_Order!$B$2:$B$41,"Solar")+SUMIFS(Merit_Order!$O$2:$O$41,Merit_Order!$B$2:$B$41,"Wind")+SUMIFS(Merit_Order!$O$2:$O$41,Merit_Order!$B$2:$B$41,"Hydro")+SUMIFS(Merit_Order!$O$2:$O$41,Merit_Order!$B$2:$B$41,"Biomass")</f>
        <v>46105.899999999994</v>
      </c>
      <c r="C26" s="56" t="s">
        <v>157</v>
      </c>
      <c r="D26" s="68">
        <f>B26/SUM(Merit_Order!$O$2:$O$41)</f>
        <v>0.70932153846153834</v>
      </c>
      <c r="E26" s="18"/>
      <c r="F26" s="18"/>
      <c r="G26" s="18"/>
      <c r="H26" s="18"/>
      <c r="I26" s="18"/>
      <c r="J26" s="18"/>
      <c r="K26" s="18"/>
      <c r="L26" s="18"/>
      <c r="M26" s="18"/>
    </row>
    <row r="27" spans="1:13" ht="15.5" x14ac:dyDescent="0.35">
      <c r="A27" s="65" t="s">
        <v>158</v>
      </c>
      <c r="B27" s="60">
        <f>SUMIFS(Merit_Order!$O$2:$O$41,Merit_Order!$B$2:$B$41,"Coal")+SUMIFS(Merit_Order!$O$2:$O$41,Merit_Order!$B$2:$B$41,"Gas")+SUMIFS(Merit_Order!$O$2:$O$41,Merit_Order!$B$2:$B$41,"Gas Peaker")</f>
        <v>18894.099999999995</v>
      </c>
      <c r="C27" s="57" t="s">
        <v>157</v>
      </c>
      <c r="D27" s="69">
        <f>B27/SUM(Merit_Order!$O$2:$O$41)</f>
        <v>0.29067846153846144</v>
      </c>
      <c r="E27" s="18"/>
      <c r="F27" s="18"/>
      <c r="G27" s="18"/>
      <c r="H27" s="18"/>
      <c r="I27" s="18"/>
      <c r="J27" s="18"/>
      <c r="K27" s="18"/>
      <c r="L27" s="18"/>
      <c r="M27" s="18"/>
    </row>
    <row r="28" spans="1:13" ht="16" thickBot="1" x14ac:dyDescent="0.4">
      <c r="A28" s="70" t="s">
        <v>159</v>
      </c>
      <c r="B28" s="71">
        <f>(SUMIFS(Merit_Order!$E$2:$E$41,Merit_Order!$B$2:$B$41,"Solar")+SUMIFS(Merit_Order!$E$2:$E$41,Merit_Order!$B$2:$B$41,"Wind"))-(SUMIFS(Merit_Order!$O$2:$O$41,Merit_Order!$B$2:$B$41,"Solar")+SUMIFS(Merit_Order!$O$2:$O$41,Merit_Order!$B$2:$B$41,"Wind"))</f>
        <v>0</v>
      </c>
      <c r="C28" s="72" t="s">
        <v>160</v>
      </c>
      <c r="D28" s="73">
        <f>B28/(SUMIFS(Merit_Order!$E$2:$E$41,Merit_Order!$B$2:$B$41,"Solar")+SUMIFS(Merit_Order!$E$2:$E$41,Merit_Order!$B$2:$B$41,"Wind"))</f>
        <v>0</v>
      </c>
      <c r="E28" s="18"/>
      <c r="F28" s="18"/>
      <c r="G28" s="18"/>
      <c r="H28" s="18"/>
      <c r="I28" s="18"/>
      <c r="J28" s="18"/>
      <c r="K28" s="18"/>
      <c r="L28" s="18"/>
      <c r="M28" s="18"/>
    </row>
    <row r="29" spans="1:13" ht="15.5" x14ac:dyDescent="0.3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</row>
    <row r="30" spans="1:13" ht="18.5" thickBot="1" x14ac:dyDescent="0.45">
      <c r="A30" s="55" t="s">
        <v>161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</row>
    <row r="31" spans="1:13" ht="15.5" x14ac:dyDescent="0.35">
      <c r="A31" s="83" t="s">
        <v>162</v>
      </c>
      <c r="B31" s="77">
        <f>SUM(Merit_Order!$Q$2:$Q$41)</f>
        <v>6792499.9999999991</v>
      </c>
      <c r="C31" s="78" t="s">
        <v>163</v>
      </c>
      <c r="E31" s="85" t="s">
        <v>173</v>
      </c>
      <c r="F31" s="86"/>
      <c r="G31" s="86"/>
      <c r="H31" s="87"/>
      <c r="I31" s="18"/>
      <c r="J31" s="18"/>
      <c r="K31" s="18"/>
      <c r="L31" s="18"/>
      <c r="M31" s="18"/>
    </row>
    <row r="32" spans="1:13" ht="15.5" x14ac:dyDescent="0.35">
      <c r="A32" s="65" t="s">
        <v>164</v>
      </c>
      <c r="B32" s="74">
        <f>SUM(Merit_Order!$R$2:$R$41)</f>
        <v>2341998.9420000003</v>
      </c>
      <c r="C32" s="79" t="s">
        <v>165</v>
      </c>
      <c r="D32" s="18"/>
      <c r="E32" s="90" t="s">
        <v>178</v>
      </c>
      <c r="F32" s="91"/>
      <c r="G32" s="91" t="str">
        <f>INDEX(Merit_Order!$B$2:$B$41,MATCH(0,Merit_Order!$S$2:$S$41,0))</f>
        <v>Gas</v>
      </c>
      <c r="H32" s="92"/>
      <c r="I32" s="18"/>
      <c r="J32" s="18"/>
      <c r="K32" s="18"/>
      <c r="L32" s="18"/>
      <c r="M32" s="18"/>
    </row>
    <row r="33" spans="1:13" ht="15.5" x14ac:dyDescent="0.35">
      <c r="A33" s="65" t="s">
        <v>143</v>
      </c>
      <c r="B33" s="74">
        <f>SUM(Merit_Order!$S$2:$S$41)</f>
        <v>4450501.0580000002</v>
      </c>
      <c r="C33" s="79" t="s">
        <v>166</v>
      </c>
      <c r="D33" s="18"/>
      <c r="E33" s="90" t="s">
        <v>174</v>
      </c>
      <c r="F33" s="91"/>
      <c r="G33" s="91" t="str">
        <f>INDEX(Merit_Order!$A$2:$A$41,MATCH(0,Merit_Order!$S$2:$S$41,0))</f>
        <v>CCGT_Irsching</v>
      </c>
      <c r="H33" s="92"/>
      <c r="I33" s="18"/>
      <c r="J33" s="18"/>
      <c r="K33" s="18"/>
      <c r="L33" s="18"/>
      <c r="M33" s="18"/>
    </row>
    <row r="34" spans="1:13" ht="15.5" x14ac:dyDescent="0.35">
      <c r="A34" s="65" t="s">
        <v>167</v>
      </c>
      <c r="B34" s="75">
        <f>B32/SUM(Merit_Order!$O$2:$O$41)</f>
        <v>36.030752953846161</v>
      </c>
      <c r="C34" s="79" t="s">
        <v>168</v>
      </c>
      <c r="D34" s="18"/>
      <c r="E34" s="88" t="s">
        <v>175</v>
      </c>
      <c r="F34" s="89"/>
      <c r="G34" s="93">
        <f>INDEX(Merit_Order!$K$2:$K$41,MATCH(0,Merit_Order!$S$2:$S$41,0))</f>
        <v>104.5</v>
      </c>
      <c r="H34" s="94"/>
      <c r="I34" s="18"/>
      <c r="J34" s="18"/>
      <c r="K34" s="18"/>
      <c r="L34" s="18"/>
      <c r="M34" s="18"/>
    </row>
    <row r="35" spans="1:13" ht="15.5" x14ac:dyDescent="0.35">
      <c r="A35" s="65" t="s">
        <v>169</v>
      </c>
      <c r="B35" s="75">
        <f>_xlfn.MAXIFS(Merit_Order!$K$2:$K$41,Merit_Order!$N$2:$N$41,"Yes")-B34</f>
        <v>68.469247046153839</v>
      </c>
      <c r="C35" s="79" t="s">
        <v>170</v>
      </c>
      <c r="D35" s="18"/>
      <c r="E35" s="90" t="s">
        <v>176</v>
      </c>
      <c r="F35" s="91"/>
      <c r="G35" s="95">
        <f>INDEX(Merit_Order!$O$2:$O$41,MATCH(0,Merit_Order!$S$2:$S$41,0))</f>
        <v>3240</v>
      </c>
      <c r="H35" s="96"/>
      <c r="I35" s="18"/>
      <c r="J35" s="18"/>
      <c r="K35" s="18"/>
      <c r="L35" s="18"/>
      <c r="M35" s="18"/>
    </row>
    <row r="36" spans="1:13" ht="16" thickBot="1" x14ac:dyDescent="0.4">
      <c r="A36" s="84" t="s">
        <v>171</v>
      </c>
      <c r="B36" s="81">
        <f>(B31-B32)/B32</f>
        <v>1.9003002000502176</v>
      </c>
      <c r="C36" s="82" t="s">
        <v>172</v>
      </c>
      <c r="D36" s="18"/>
      <c r="E36" s="121" t="s">
        <v>177</v>
      </c>
      <c r="F36" s="122"/>
      <c r="G36" s="122"/>
      <c r="H36" s="123"/>
      <c r="I36" s="18"/>
      <c r="J36" s="18"/>
      <c r="K36" s="18"/>
      <c r="L36" s="18"/>
      <c r="M36" s="18"/>
    </row>
    <row r="37" spans="1:13" ht="15.5" x14ac:dyDescent="0.3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</row>
    <row r="38" spans="1:13" ht="18" x14ac:dyDescent="0.4">
      <c r="A38" s="97" t="s">
        <v>179</v>
      </c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</row>
    <row r="39" spans="1:13" ht="16" thickBot="1" x14ac:dyDescent="0.4">
      <c r="A39" s="98" t="s">
        <v>3</v>
      </c>
      <c r="B39" s="98" t="s">
        <v>180</v>
      </c>
      <c r="C39" s="98" t="s">
        <v>181</v>
      </c>
      <c r="D39" s="98" t="s">
        <v>182</v>
      </c>
      <c r="E39" s="98" t="s">
        <v>183</v>
      </c>
      <c r="F39" s="98" t="s">
        <v>184</v>
      </c>
      <c r="G39" s="18"/>
      <c r="H39" s="18"/>
      <c r="I39" s="18"/>
      <c r="J39" s="18"/>
      <c r="K39" s="18"/>
      <c r="L39" s="18"/>
      <c r="M39" s="18"/>
    </row>
    <row r="40" spans="1:13" ht="15.5" x14ac:dyDescent="0.35">
      <c r="A40" s="100" t="s">
        <v>21</v>
      </c>
      <c r="B40" s="103">
        <f>SUMIFS(Merit_Order!$C$2:$C$41,Merit_Order!$B$2:$B$41,"Solar")</f>
        <v>92000</v>
      </c>
      <c r="C40" s="103">
        <f>SUMIFS(Merit_Order!$E$2:$E$41,Merit_Order!$B$2:$B$41,"Solar")</f>
        <v>4600</v>
      </c>
      <c r="D40" s="103">
        <f>SUMIFS(Merit_Order!$O$2:$O$41,Merit_Order!$B$2:$B$41,"Solar")</f>
        <v>4600</v>
      </c>
      <c r="E40" s="104">
        <f>D40/C40</f>
        <v>1</v>
      </c>
      <c r="F40" s="101">
        <f>(D40/B40)*8760</f>
        <v>438</v>
      </c>
      <c r="G40" s="18"/>
      <c r="H40" s="18"/>
      <c r="I40" s="18"/>
      <c r="J40" s="18"/>
      <c r="K40" s="18"/>
      <c r="L40" s="18"/>
      <c r="M40" s="18"/>
    </row>
    <row r="41" spans="1:13" ht="15.5" x14ac:dyDescent="0.35">
      <c r="A41" s="105" t="s">
        <v>18</v>
      </c>
      <c r="B41" s="106">
        <f>SUMIFS(Merit_Order!$C$2:$C$41,Merit_Order!$B$2:$B$41,"Wind")</f>
        <v>69782</v>
      </c>
      <c r="C41" s="106">
        <f>SUMIFS(Merit_Order!$E$2:$E$41,Merit_Order!$B$2:$B$41,"Wind")</f>
        <v>31401.899999999998</v>
      </c>
      <c r="D41" s="106">
        <f>SUMIFS(Merit_Order!$O$2:$O$41,Merit_Order!$B$2:$B$41,"Wind")</f>
        <v>31401.899999999998</v>
      </c>
      <c r="E41" s="76">
        <f t="shared" ref="E41:E46" si="1">D41/C41</f>
        <v>1</v>
      </c>
      <c r="F41" s="102">
        <f t="shared" ref="F41:F46" si="2">(D41/B41)*8760</f>
        <v>3941.9999999999995</v>
      </c>
      <c r="G41" s="18"/>
      <c r="H41" s="18"/>
      <c r="I41" s="18"/>
      <c r="J41" s="18"/>
      <c r="K41" s="18"/>
      <c r="L41" s="18"/>
      <c r="M41" s="18"/>
    </row>
    <row r="42" spans="1:13" ht="15.5" x14ac:dyDescent="0.35">
      <c r="A42" s="105" t="s">
        <v>22</v>
      </c>
      <c r="B42" s="106">
        <f>SUMIFS(Merit_Order!$C$2:$C$41,Merit_Order!$B$2:$B$41,"Hydro")</f>
        <v>6800</v>
      </c>
      <c r="C42" s="106">
        <f>SUMIFS(Merit_Order!$E$2:$E$41,Merit_Order!$B$2:$B$41,"Hydro")</f>
        <v>3392</v>
      </c>
      <c r="D42" s="106">
        <f>SUMIFS(Merit_Order!$O$2:$O$41,Merit_Order!$B$2:$B$41,"Hydro")</f>
        <v>3392</v>
      </c>
      <c r="E42" s="76">
        <f t="shared" si="1"/>
        <v>1</v>
      </c>
      <c r="F42" s="102">
        <f t="shared" si="2"/>
        <v>4369.6941176470591</v>
      </c>
      <c r="G42" s="18"/>
      <c r="H42" s="18"/>
      <c r="I42" s="18"/>
      <c r="J42" s="18"/>
      <c r="K42" s="18"/>
      <c r="L42" s="18"/>
      <c r="M42" s="18"/>
    </row>
    <row r="43" spans="1:13" ht="15.5" x14ac:dyDescent="0.35">
      <c r="A43" s="105" t="s">
        <v>23</v>
      </c>
      <c r="B43" s="106">
        <f>SUMIFS(Merit_Order!$C$2:$C$41,Merit_Order!$B$2:$B$41,"Biomass")</f>
        <v>8400</v>
      </c>
      <c r="C43" s="106">
        <f>SUMIFS(Merit_Order!$E$2:$E$41,Merit_Order!$B$2:$B$41,"Biomass")</f>
        <v>6712</v>
      </c>
      <c r="D43" s="106">
        <f>SUMIFS(Merit_Order!$O$2:$O$41,Merit_Order!$B$2:$B$41,"Biomass")</f>
        <v>6712</v>
      </c>
      <c r="E43" s="76">
        <f t="shared" si="1"/>
        <v>1</v>
      </c>
      <c r="F43" s="102">
        <f t="shared" si="2"/>
        <v>6999.6571428571424</v>
      </c>
      <c r="G43" s="18"/>
      <c r="H43" s="18"/>
      <c r="I43" s="18"/>
      <c r="J43" s="18"/>
      <c r="K43" s="18"/>
      <c r="L43" s="18"/>
      <c r="M43" s="18"/>
    </row>
    <row r="44" spans="1:13" ht="15.5" x14ac:dyDescent="0.35">
      <c r="A44" s="105" t="s">
        <v>11</v>
      </c>
      <c r="B44" s="106">
        <f>SUMIFS(Merit_Order!$C$2:$C$41,Merit_Order!$B$2:$B$41,"Coal")</f>
        <v>31839</v>
      </c>
      <c r="C44" s="106">
        <f>SUMIFS(Merit_Order!$E$2:$E$41,Merit_Order!$B$2:$B$41,"Coal")</f>
        <v>27367.62</v>
      </c>
      <c r="D44" s="106">
        <f>SUMIFS(Merit_Order!$O$2:$O$41,Merit_Order!$B$2:$B$41,"Coal")</f>
        <v>11681.619999999999</v>
      </c>
      <c r="E44" s="76">
        <f t="shared" si="1"/>
        <v>0.42684091638220639</v>
      </c>
      <c r="F44" s="102">
        <f t="shared" si="2"/>
        <v>3214.0139828512197</v>
      </c>
      <c r="G44" s="18"/>
      <c r="H44" s="18"/>
      <c r="I44" s="18"/>
      <c r="J44" s="18"/>
      <c r="K44" s="18"/>
      <c r="L44" s="18"/>
      <c r="M44" s="18"/>
    </row>
    <row r="45" spans="1:13" ht="15.5" x14ac:dyDescent="0.35">
      <c r="A45" s="105" t="s">
        <v>14</v>
      </c>
      <c r="B45" s="106">
        <f>SUMIFS(Merit_Order!$C$2:$C$41,Merit_Order!$B$2:$B$41,"Gas")</f>
        <v>13020</v>
      </c>
      <c r="C45" s="106">
        <f>SUMIFS(Merit_Order!$E$2:$E$41,Merit_Order!$B$2:$B$41,"Gas")</f>
        <v>11638</v>
      </c>
      <c r="D45" s="106">
        <f>SUMIFS(Merit_Order!$O$2:$O$41,Merit_Order!$B$2:$B$41,"Gas")</f>
        <v>7212.4799999999959</v>
      </c>
      <c r="E45" s="76">
        <f t="shared" si="1"/>
        <v>0.61973534971644573</v>
      </c>
      <c r="F45" s="102">
        <f t="shared" si="2"/>
        <v>4852.6363133640525</v>
      </c>
      <c r="G45" s="18"/>
      <c r="H45" s="18"/>
      <c r="I45" s="18"/>
      <c r="J45" s="18"/>
      <c r="K45" s="18"/>
      <c r="L45" s="18"/>
      <c r="M45" s="18"/>
    </row>
    <row r="46" spans="1:13" ht="15.5" x14ac:dyDescent="0.35">
      <c r="A46" s="105" t="s">
        <v>16</v>
      </c>
      <c r="B46" s="106">
        <f>SUMIFS(Merit_Order!$C$2:$C$41,Merit_Order!$B$2:$B$41,"Gas Peaker")</f>
        <v>4500</v>
      </c>
      <c r="C46" s="106">
        <f>SUMIFS(Merit_Order!$E$2:$E$41,Merit_Order!$B$2:$B$41,"Gas Peaker")</f>
        <v>4127</v>
      </c>
      <c r="D46" s="106">
        <f>SUMIFS(Merit_Order!$O$2:$O$41,Merit_Order!$B$2:$B$41,"Gas Peaker")</f>
        <v>0</v>
      </c>
      <c r="E46" s="76">
        <f t="shared" si="1"/>
        <v>0</v>
      </c>
      <c r="F46" s="102">
        <f t="shared" si="2"/>
        <v>0</v>
      </c>
      <c r="G46" s="18"/>
      <c r="H46" s="18"/>
      <c r="I46" s="18"/>
      <c r="J46" s="18"/>
      <c r="K46" s="18"/>
      <c r="L46" s="18"/>
      <c r="M46" s="18"/>
    </row>
    <row r="47" spans="1:13" ht="16" thickBot="1" x14ac:dyDescent="0.4">
      <c r="A47" s="80" t="s">
        <v>150</v>
      </c>
      <c r="B47" s="107">
        <f>SUM(B40:B46)</f>
        <v>226341</v>
      </c>
      <c r="C47" s="107">
        <f>SUM(C40:C46)</f>
        <v>89238.51999999999</v>
      </c>
      <c r="D47" s="107">
        <f>SUM(D40:D46)</f>
        <v>64999.999999999985</v>
      </c>
      <c r="E47" s="108">
        <f>SUM(E40:E46)</f>
        <v>5.0465762660986515</v>
      </c>
      <c r="F47" s="109">
        <f>SUM(F40:F46)</f>
        <v>23816.001556719471</v>
      </c>
      <c r="G47" s="18"/>
      <c r="H47" s="18"/>
      <c r="I47" s="18"/>
      <c r="J47" s="18"/>
      <c r="K47" s="18"/>
      <c r="L47" s="18"/>
      <c r="M47" s="18"/>
    </row>
    <row r="48" spans="1:13" ht="15.5" x14ac:dyDescent="0.3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</row>
    <row r="49" spans="1:13" ht="15.5" x14ac:dyDescent="0.35">
      <c r="A49" s="99" t="s">
        <v>185</v>
      </c>
      <c r="B49" s="99"/>
      <c r="C49" s="99"/>
      <c r="D49" s="99"/>
      <c r="E49" s="18"/>
      <c r="F49" s="18"/>
      <c r="G49" s="18"/>
      <c r="H49" s="18"/>
      <c r="I49" s="18"/>
      <c r="J49" s="18"/>
      <c r="K49" s="18"/>
      <c r="L49" s="18"/>
      <c r="M49" s="18"/>
    </row>
    <row r="50" spans="1:13" ht="15.5" x14ac:dyDescent="0.35">
      <c r="A50" s="110" t="s">
        <v>186</v>
      </c>
      <c r="B50" s="118">
        <f>SUM(Merit_Order!$E$2:$E$41)</f>
        <v>89238.52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</row>
    <row r="51" spans="1:13" ht="15.5" x14ac:dyDescent="0.35">
      <c r="A51" s="110" t="s">
        <v>187</v>
      </c>
      <c r="B51" s="118">
        <f>Input_Parameters!$B$6</f>
        <v>65000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</row>
    <row r="52" spans="1:13" ht="15.5" x14ac:dyDescent="0.35">
      <c r="A52" s="110" t="s">
        <v>188</v>
      </c>
      <c r="B52" s="118">
        <f>B50-B51</f>
        <v>24238.520000000004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</row>
    <row r="53" spans="1:13" ht="15.5" x14ac:dyDescent="0.35">
      <c r="A53" s="110" t="s">
        <v>189</v>
      </c>
      <c r="B53" s="119">
        <f>(B50-B51)/B51</f>
        <v>0.37290030769230775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</row>
    <row r="54" spans="1:13" ht="15.5" x14ac:dyDescent="0.35">
      <c r="A54" s="110" t="s">
        <v>190</v>
      </c>
      <c r="B54" s="120" t="str">
        <f>IF(B53&gt;0.15,"✓ Adequate","⚠ Low")</f>
        <v>✓ Adequate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</row>
    <row r="55" spans="1:13" ht="15.5" x14ac:dyDescent="0.3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</row>
    <row r="56" spans="1:13" ht="15.5" x14ac:dyDescent="0.3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</row>
    <row r="57" spans="1:13" ht="15.5" x14ac:dyDescent="0.3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</row>
    <row r="58" spans="1:13" ht="15.5" x14ac:dyDescent="0.3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</row>
    <row r="59" spans="1:13" ht="15.5" x14ac:dyDescent="0.3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</row>
    <row r="60" spans="1:13" ht="15.5" x14ac:dyDescent="0.3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</row>
    <row r="61" spans="1:13" ht="15.5" x14ac:dyDescent="0.3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</row>
    <row r="62" spans="1:13" ht="15.5" x14ac:dyDescent="0.3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</row>
    <row r="63" spans="1:13" ht="15.5" x14ac:dyDescent="0.3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</row>
    <row r="64" spans="1:13" ht="15.5" x14ac:dyDescent="0.3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</row>
    <row r="65" spans="1:13" ht="15.5" x14ac:dyDescent="0.3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</row>
    <row r="66" spans="1:13" ht="15.5" x14ac:dyDescent="0.3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</row>
    <row r="67" spans="1:13" ht="15.5" x14ac:dyDescent="0.3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</row>
    <row r="68" spans="1:13" ht="15.5" x14ac:dyDescent="0.3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</row>
    <row r="69" spans="1:13" ht="15.5" x14ac:dyDescent="0.3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</row>
    <row r="70" spans="1:13" ht="15.5" x14ac:dyDescent="0.3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</row>
    <row r="71" spans="1:13" ht="15.5" x14ac:dyDescent="0.3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</row>
    <row r="72" spans="1:13" ht="15.5" x14ac:dyDescent="0.3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</row>
    <row r="73" spans="1:13" ht="15.5" x14ac:dyDescent="0.3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</row>
    <row r="74" spans="1:13" ht="15.5" x14ac:dyDescent="0.3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</row>
    <row r="75" spans="1:13" ht="15.5" x14ac:dyDescent="0.3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</row>
    <row r="76" spans="1:13" ht="15.5" x14ac:dyDescent="0.3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</row>
    <row r="77" spans="1:13" ht="15.5" x14ac:dyDescent="0.3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</row>
    <row r="78" spans="1:13" ht="15.5" x14ac:dyDescent="0.3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</row>
    <row r="79" spans="1:13" ht="15.5" x14ac:dyDescent="0.3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</row>
    <row r="80" spans="1:13" ht="15.5" x14ac:dyDescent="0.3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</row>
    <row r="81" spans="1:13" ht="15.5" x14ac:dyDescent="0.3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</row>
    <row r="82" spans="1:13" ht="15.5" x14ac:dyDescent="0.3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</row>
    <row r="83" spans="1:13" ht="15.5" x14ac:dyDescent="0.3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</row>
    <row r="84" spans="1:13" ht="15.5" x14ac:dyDescent="0.3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</row>
    <row r="85" spans="1:13" ht="15.5" x14ac:dyDescent="0.3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</row>
    <row r="86" spans="1:13" ht="15.5" x14ac:dyDescent="0.3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</row>
    <row r="87" spans="1:13" ht="15.5" x14ac:dyDescent="0.3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</row>
    <row r="88" spans="1:13" ht="15.5" x14ac:dyDescent="0.3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</row>
    <row r="89" spans="1:13" ht="15.5" x14ac:dyDescent="0.3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</row>
    <row r="90" spans="1:13" ht="15.5" x14ac:dyDescent="0.3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</row>
    <row r="91" spans="1:13" ht="15.5" x14ac:dyDescent="0.3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</row>
    <row r="92" spans="1:13" ht="15.5" x14ac:dyDescent="0.3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</row>
    <row r="93" spans="1:13" ht="15.5" x14ac:dyDescent="0.3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</row>
    <row r="94" spans="1:13" ht="15.5" x14ac:dyDescent="0.3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</row>
    <row r="95" spans="1:13" ht="15.5" x14ac:dyDescent="0.3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</row>
    <row r="96" spans="1:13" ht="15.5" x14ac:dyDescent="0.3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</row>
    <row r="97" spans="1:13" ht="15.5" x14ac:dyDescent="0.3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</row>
    <row r="98" spans="1:13" ht="15.5" x14ac:dyDescent="0.3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</row>
    <row r="99" spans="1:13" ht="15.5" x14ac:dyDescent="0.3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</row>
    <row r="100" spans="1:13" ht="15.5" x14ac:dyDescent="0.3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</row>
    <row r="101" spans="1:13" ht="15.5" x14ac:dyDescent="0.3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</row>
    <row r="102" spans="1:13" ht="15.5" x14ac:dyDescent="0.3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</row>
    <row r="103" spans="1:13" ht="15.5" x14ac:dyDescent="0.3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</row>
    <row r="104" spans="1:13" ht="15.5" x14ac:dyDescent="0.3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</row>
    <row r="105" spans="1:13" ht="15.5" x14ac:dyDescent="0.3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</row>
    <row r="106" spans="1:13" ht="15.5" x14ac:dyDescent="0.3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</row>
    <row r="107" spans="1:13" ht="15.5" x14ac:dyDescent="0.3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</row>
    <row r="108" spans="1:13" ht="15.5" x14ac:dyDescent="0.3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</row>
    <row r="109" spans="1:13" ht="15.5" x14ac:dyDescent="0.3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</row>
    <row r="110" spans="1:13" ht="15.5" x14ac:dyDescent="0.3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</row>
    <row r="111" spans="1:13" ht="15.5" x14ac:dyDescent="0.3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</row>
    <row r="112" spans="1:13" ht="15.5" x14ac:dyDescent="0.3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</row>
    <row r="113" spans="1:13" ht="15.5" x14ac:dyDescent="0.3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</row>
    <row r="114" spans="1:13" ht="15.5" x14ac:dyDescent="0.3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</row>
    <row r="115" spans="1:13" ht="15.5" x14ac:dyDescent="0.3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</row>
    <row r="116" spans="1:13" ht="15.5" x14ac:dyDescent="0.3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</row>
    <row r="117" spans="1:13" ht="15.5" x14ac:dyDescent="0.3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</row>
    <row r="118" spans="1:13" ht="15.5" x14ac:dyDescent="0.3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</row>
    <row r="119" spans="1:13" ht="15.5" x14ac:dyDescent="0.3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</row>
    <row r="120" spans="1:13" ht="15.5" x14ac:dyDescent="0.3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</row>
    <row r="121" spans="1:13" ht="15.5" x14ac:dyDescent="0.3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</row>
    <row r="122" spans="1:13" ht="15.5" x14ac:dyDescent="0.3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</row>
    <row r="123" spans="1:13" ht="15.5" x14ac:dyDescent="0.3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</row>
    <row r="124" spans="1:13" ht="15.5" x14ac:dyDescent="0.3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</row>
    <row r="125" spans="1:13" ht="15.5" x14ac:dyDescent="0.3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</row>
    <row r="126" spans="1:13" ht="15.5" x14ac:dyDescent="0.3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</row>
    <row r="127" spans="1:13" ht="15.5" x14ac:dyDescent="0.3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</row>
    <row r="128" spans="1:13" ht="15.5" x14ac:dyDescent="0.3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</row>
    <row r="129" spans="1:13" ht="15.5" x14ac:dyDescent="0.3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</row>
    <row r="130" spans="1:13" ht="15.5" x14ac:dyDescent="0.3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</row>
    <row r="131" spans="1:13" ht="15.5" x14ac:dyDescent="0.3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</row>
    <row r="132" spans="1:13" ht="15.5" x14ac:dyDescent="0.3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</row>
    <row r="133" spans="1:13" ht="15.5" x14ac:dyDescent="0.3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</row>
    <row r="134" spans="1:13" ht="15.5" x14ac:dyDescent="0.3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</row>
    <row r="135" spans="1:13" ht="15.5" x14ac:dyDescent="0.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</row>
    <row r="136" spans="1:13" ht="15.5" x14ac:dyDescent="0.3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</row>
    <row r="137" spans="1:13" ht="15.5" x14ac:dyDescent="0.3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</row>
    <row r="138" spans="1:13" ht="15.5" x14ac:dyDescent="0.3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</row>
    <row r="139" spans="1:13" ht="15.5" x14ac:dyDescent="0.3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</row>
    <row r="140" spans="1:13" ht="15.5" x14ac:dyDescent="0.3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</row>
    <row r="141" spans="1:13" ht="15.5" x14ac:dyDescent="0.3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</row>
    <row r="142" spans="1:13" ht="15.5" x14ac:dyDescent="0.3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</row>
    <row r="143" spans="1:13" ht="15.5" x14ac:dyDescent="0.3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</row>
    <row r="144" spans="1:13" ht="15.5" x14ac:dyDescent="0.3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</row>
    <row r="145" spans="1:13" ht="15.5" x14ac:dyDescent="0.3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</row>
    <row r="146" spans="1:13" ht="15.5" x14ac:dyDescent="0.3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</row>
    <row r="147" spans="1:13" ht="15.5" x14ac:dyDescent="0.3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</row>
    <row r="148" spans="1:13" ht="15.5" x14ac:dyDescent="0.3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</row>
    <row r="149" spans="1:13" ht="15.5" x14ac:dyDescent="0.3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</row>
    <row r="150" spans="1:13" ht="15.5" x14ac:dyDescent="0.3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</row>
    <row r="151" spans="1:13" ht="15.5" x14ac:dyDescent="0.3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</row>
    <row r="152" spans="1:13" ht="15.5" x14ac:dyDescent="0.3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</row>
    <row r="153" spans="1:13" ht="15.5" x14ac:dyDescent="0.3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</row>
    <row r="154" spans="1:13" ht="15.5" x14ac:dyDescent="0.3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</row>
    <row r="155" spans="1:13" ht="15.5" x14ac:dyDescent="0.3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</row>
    <row r="156" spans="1:13" ht="15.5" x14ac:dyDescent="0.3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</row>
    <row r="157" spans="1:13" ht="15.5" x14ac:dyDescent="0.3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</row>
    <row r="158" spans="1:13" ht="15.5" x14ac:dyDescent="0.3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</row>
    <row r="159" spans="1:13" ht="15.5" x14ac:dyDescent="0.3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</row>
    <row r="160" spans="1:13" ht="15.5" x14ac:dyDescent="0.3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</row>
    <row r="161" spans="1:13" ht="15.5" x14ac:dyDescent="0.3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</row>
    <row r="162" spans="1:13" ht="15.5" x14ac:dyDescent="0.3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</row>
    <row r="163" spans="1:13" ht="15.5" x14ac:dyDescent="0.3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</row>
    <row r="164" spans="1:13" ht="15.5" x14ac:dyDescent="0.3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</row>
    <row r="165" spans="1:13" ht="15.5" x14ac:dyDescent="0.3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</row>
    <row r="166" spans="1:13" ht="15.5" x14ac:dyDescent="0.3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</row>
    <row r="167" spans="1:13" ht="15.5" x14ac:dyDescent="0.3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</row>
    <row r="168" spans="1:13" ht="15.5" x14ac:dyDescent="0.3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</row>
    <row r="169" spans="1:13" ht="15.5" x14ac:dyDescent="0.3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</row>
    <row r="170" spans="1:13" ht="15.5" x14ac:dyDescent="0.3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</row>
    <row r="171" spans="1:13" ht="15.5" x14ac:dyDescent="0.3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</row>
    <row r="172" spans="1:13" ht="15.5" x14ac:dyDescent="0.3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</row>
    <row r="173" spans="1:13" ht="15.5" x14ac:dyDescent="0.3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</row>
    <row r="174" spans="1:13" ht="15.5" x14ac:dyDescent="0.3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</row>
    <row r="175" spans="1:13" ht="15.5" x14ac:dyDescent="0.3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</row>
    <row r="176" spans="1:13" ht="15.5" x14ac:dyDescent="0.3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</row>
    <row r="177" spans="1:13" ht="15.5" x14ac:dyDescent="0.3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</row>
    <row r="178" spans="1:13" ht="15.5" x14ac:dyDescent="0.3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</row>
    <row r="179" spans="1:13" ht="15.5" x14ac:dyDescent="0.3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</row>
    <row r="180" spans="1:13" ht="15.5" x14ac:dyDescent="0.3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</row>
    <row r="181" spans="1:13" ht="15.5" x14ac:dyDescent="0.3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</row>
    <row r="182" spans="1:13" ht="15.5" x14ac:dyDescent="0.3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</row>
    <row r="183" spans="1:13" ht="15.5" x14ac:dyDescent="0.3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</row>
    <row r="184" spans="1:13" ht="15.5" x14ac:dyDescent="0.3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</row>
    <row r="185" spans="1:13" ht="15.5" x14ac:dyDescent="0.3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</row>
    <row r="186" spans="1:13" ht="15.5" x14ac:dyDescent="0.3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</row>
    <row r="187" spans="1:13" ht="15.5" x14ac:dyDescent="0.3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</row>
    <row r="188" spans="1:13" ht="15.5" x14ac:dyDescent="0.3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</row>
    <row r="189" spans="1:13" ht="15.5" x14ac:dyDescent="0.3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</row>
    <row r="190" spans="1:13" ht="15.5" x14ac:dyDescent="0.3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</row>
    <row r="191" spans="1:13" ht="15.5" x14ac:dyDescent="0.3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</row>
    <row r="192" spans="1:13" ht="15.5" x14ac:dyDescent="0.3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</row>
    <row r="193" spans="1:13" ht="15.5" x14ac:dyDescent="0.3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</row>
    <row r="194" spans="1:13" ht="15.5" x14ac:dyDescent="0.3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</row>
    <row r="195" spans="1:13" ht="15.5" x14ac:dyDescent="0.3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</row>
    <row r="196" spans="1:13" ht="15.5" x14ac:dyDescent="0.3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</row>
    <row r="197" spans="1:13" ht="15.5" x14ac:dyDescent="0.3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</row>
    <row r="198" spans="1:13" ht="15.5" x14ac:dyDescent="0.3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</row>
    <row r="199" spans="1:13" ht="15.5" x14ac:dyDescent="0.3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</row>
    <row r="200" spans="1:13" ht="15.5" x14ac:dyDescent="0.3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</row>
    <row r="201" spans="1:13" ht="15.5" x14ac:dyDescent="0.3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</row>
    <row r="202" spans="1:13" ht="15.5" x14ac:dyDescent="0.3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</row>
    <row r="203" spans="1:13" ht="15.5" x14ac:dyDescent="0.3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</row>
    <row r="204" spans="1:13" ht="15.5" x14ac:dyDescent="0.3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</row>
    <row r="205" spans="1:13" ht="15.5" x14ac:dyDescent="0.3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</row>
    <row r="206" spans="1:13" ht="15.5" x14ac:dyDescent="0.3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</row>
    <row r="207" spans="1:13" ht="15.5" x14ac:dyDescent="0.3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</row>
    <row r="208" spans="1:13" ht="15.5" x14ac:dyDescent="0.3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</row>
    <row r="209" spans="1:13" ht="15.5" x14ac:dyDescent="0.3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</row>
    <row r="210" spans="1:13" ht="15.5" x14ac:dyDescent="0.3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</row>
    <row r="211" spans="1:13" ht="15.5" x14ac:dyDescent="0.3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</row>
    <row r="212" spans="1:13" ht="15.5" x14ac:dyDescent="0.3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</row>
    <row r="213" spans="1:13" ht="15.5" x14ac:dyDescent="0.3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</row>
    <row r="214" spans="1:13" ht="15.5" x14ac:dyDescent="0.3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</row>
    <row r="215" spans="1:13" ht="15.5" x14ac:dyDescent="0.3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</row>
    <row r="216" spans="1:13" ht="15.5" x14ac:dyDescent="0.3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</row>
    <row r="217" spans="1:13" ht="15.5" x14ac:dyDescent="0.3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</row>
    <row r="218" spans="1:13" ht="15.5" x14ac:dyDescent="0.3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</row>
    <row r="219" spans="1:13" ht="15.5" x14ac:dyDescent="0.3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</row>
    <row r="220" spans="1:13" ht="15.5" x14ac:dyDescent="0.3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</row>
    <row r="221" spans="1:13" ht="15.5" x14ac:dyDescent="0.3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</row>
    <row r="222" spans="1:13" ht="15.5" x14ac:dyDescent="0.3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</row>
    <row r="223" spans="1:13" ht="15.5" x14ac:dyDescent="0.3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</row>
    <row r="224" spans="1:13" ht="15.5" x14ac:dyDescent="0.3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</row>
    <row r="225" spans="1:13" ht="15.5" x14ac:dyDescent="0.3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</row>
    <row r="226" spans="1:13" ht="15.5" x14ac:dyDescent="0.3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</row>
    <row r="227" spans="1:13" ht="15.5" x14ac:dyDescent="0.3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</row>
    <row r="228" spans="1:13" ht="15.5" x14ac:dyDescent="0.3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</row>
    <row r="229" spans="1:13" ht="15.5" x14ac:dyDescent="0.3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</row>
    <row r="230" spans="1:13" ht="15.5" x14ac:dyDescent="0.3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</row>
    <row r="231" spans="1:13" ht="15.5" x14ac:dyDescent="0.3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</row>
    <row r="232" spans="1:13" ht="15.5" x14ac:dyDescent="0.3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</row>
    <row r="233" spans="1:13" ht="15.5" x14ac:dyDescent="0.3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</row>
    <row r="234" spans="1:13" ht="15.5" x14ac:dyDescent="0.3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</row>
    <row r="235" spans="1:13" ht="15.5" x14ac:dyDescent="0.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</row>
    <row r="236" spans="1:13" ht="15.5" x14ac:dyDescent="0.3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</row>
    <row r="237" spans="1:13" ht="15.5" x14ac:dyDescent="0.3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</row>
    <row r="238" spans="1:13" ht="15.5" x14ac:dyDescent="0.3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</row>
    <row r="239" spans="1:13" ht="15.5" x14ac:dyDescent="0.3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</row>
    <row r="240" spans="1:13" ht="15.5" x14ac:dyDescent="0.3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</row>
    <row r="241" spans="1:13" ht="15.5" x14ac:dyDescent="0.3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</row>
    <row r="242" spans="1:13" ht="15.5" x14ac:dyDescent="0.3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</row>
    <row r="243" spans="1:13" ht="15.5" x14ac:dyDescent="0.3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</row>
    <row r="244" spans="1:13" ht="15.5" x14ac:dyDescent="0.3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</row>
    <row r="245" spans="1:13" ht="15.5" x14ac:dyDescent="0.3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</row>
    <row r="246" spans="1:13" ht="15.5" x14ac:dyDescent="0.3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</row>
    <row r="247" spans="1:13" ht="15.5" x14ac:dyDescent="0.3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</row>
    <row r="248" spans="1:13" ht="15.5" x14ac:dyDescent="0.3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</row>
    <row r="249" spans="1:13" ht="15.5" x14ac:dyDescent="0.3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</row>
    <row r="250" spans="1:13" ht="15.5" x14ac:dyDescent="0.3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</row>
    <row r="251" spans="1:13" ht="15.5" x14ac:dyDescent="0.3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</row>
    <row r="252" spans="1:13" ht="15.5" x14ac:dyDescent="0.3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</row>
    <row r="253" spans="1:13" ht="15.5" x14ac:dyDescent="0.3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</row>
    <row r="254" spans="1:13" ht="15.5" x14ac:dyDescent="0.3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</row>
    <row r="255" spans="1:13" ht="15.5" x14ac:dyDescent="0.3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</row>
    <row r="256" spans="1:13" ht="15.5" x14ac:dyDescent="0.3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</row>
    <row r="257" spans="1:13" ht="15.5" x14ac:dyDescent="0.3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</row>
    <row r="258" spans="1:13" ht="15.5" x14ac:dyDescent="0.3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</row>
    <row r="259" spans="1:13" ht="15.5" x14ac:dyDescent="0.3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</row>
    <row r="260" spans="1:13" ht="15.5" x14ac:dyDescent="0.3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</row>
    <row r="261" spans="1:13" ht="15.5" x14ac:dyDescent="0.3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</row>
    <row r="262" spans="1:13" ht="15.5" x14ac:dyDescent="0.3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</row>
    <row r="263" spans="1:13" ht="15.5" x14ac:dyDescent="0.3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</row>
    <row r="264" spans="1:13" ht="15.5" x14ac:dyDescent="0.3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</row>
    <row r="265" spans="1:13" ht="15.5" x14ac:dyDescent="0.3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</row>
    <row r="266" spans="1:13" ht="15.5" x14ac:dyDescent="0.3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</row>
    <row r="267" spans="1:13" ht="15.5" x14ac:dyDescent="0.3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</row>
    <row r="268" spans="1:13" ht="15.5" x14ac:dyDescent="0.3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</row>
    <row r="269" spans="1:13" ht="15.5" x14ac:dyDescent="0.3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</row>
    <row r="270" spans="1:13" ht="15.5" x14ac:dyDescent="0.3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</row>
    <row r="271" spans="1:13" ht="15.5" x14ac:dyDescent="0.3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</row>
    <row r="272" spans="1:13" ht="15.5" x14ac:dyDescent="0.3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</row>
    <row r="273" spans="1:13" ht="15.5" x14ac:dyDescent="0.3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</row>
    <row r="274" spans="1:13" ht="15.5" x14ac:dyDescent="0.3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</row>
    <row r="275" spans="1:13" ht="15.5" x14ac:dyDescent="0.3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</row>
    <row r="276" spans="1:13" ht="15.5" x14ac:dyDescent="0.3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</row>
    <row r="277" spans="1:13" ht="15.5" x14ac:dyDescent="0.3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</row>
    <row r="278" spans="1:13" ht="15.5" x14ac:dyDescent="0.3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</row>
    <row r="279" spans="1:13" ht="15.5" x14ac:dyDescent="0.3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</row>
    <row r="280" spans="1:13" ht="15.5" x14ac:dyDescent="0.3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</row>
    <row r="281" spans="1:13" ht="15.5" x14ac:dyDescent="0.3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</row>
    <row r="282" spans="1:13" ht="15.5" x14ac:dyDescent="0.3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</row>
    <row r="283" spans="1:13" ht="15.5" x14ac:dyDescent="0.3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</row>
    <row r="284" spans="1:13" ht="15.5" x14ac:dyDescent="0.3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</row>
    <row r="285" spans="1:13" ht="15.5" x14ac:dyDescent="0.3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</row>
    <row r="286" spans="1:13" ht="15.5" x14ac:dyDescent="0.3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</row>
    <row r="287" spans="1:13" ht="15.5" x14ac:dyDescent="0.3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</row>
    <row r="288" spans="1:13" ht="15.5" x14ac:dyDescent="0.3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</row>
    <row r="289" spans="1:13" ht="15.5" x14ac:dyDescent="0.3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</row>
    <row r="290" spans="1:13" ht="15.5" x14ac:dyDescent="0.3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</row>
    <row r="291" spans="1:13" ht="15.5" x14ac:dyDescent="0.3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</row>
    <row r="292" spans="1:13" ht="15.5" x14ac:dyDescent="0.3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</row>
    <row r="293" spans="1:13" ht="15.5" x14ac:dyDescent="0.3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</row>
    <row r="294" spans="1:13" ht="15.5" x14ac:dyDescent="0.3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</row>
    <row r="295" spans="1:13" ht="15.5" x14ac:dyDescent="0.3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</row>
    <row r="296" spans="1:13" ht="15.5" x14ac:dyDescent="0.3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</row>
    <row r="297" spans="1:13" ht="15.5" x14ac:dyDescent="0.3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</row>
    <row r="298" spans="1:13" ht="15.5" x14ac:dyDescent="0.3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</row>
    <row r="299" spans="1:13" ht="15.5" x14ac:dyDescent="0.3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</row>
    <row r="300" spans="1:13" ht="15.5" x14ac:dyDescent="0.3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</row>
    <row r="301" spans="1:13" ht="15.5" x14ac:dyDescent="0.3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</row>
    <row r="302" spans="1:13" ht="15.5" x14ac:dyDescent="0.3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</row>
    <row r="303" spans="1:13" ht="15.5" x14ac:dyDescent="0.3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</row>
    <row r="304" spans="1:13" ht="15.5" x14ac:dyDescent="0.3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</row>
    <row r="305" spans="1:13" ht="15.5" x14ac:dyDescent="0.3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</row>
    <row r="306" spans="1:13" ht="15.5" x14ac:dyDescent="0.3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</row>
    <row r="307" spans="1:13" ht="15.5" x14ac:dyDescent="0.3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</row>
    <row r="308" spans="1:13" ht="15.5" x14ac:dyDescent="0.3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</row>
    <row r="309" spans="1:13" ht="15.5" x14ac:dyDescent="0.3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</row>
    <row r="310" spans="1:13" ht="15.5" x14ac:dyDescent="0.3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</row>
    <row r="311" spans="1:13" ht="15.5" x14ac:dyDescent="0.3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</row>
    <row r="312" spans="1:13" ht="15.5" x14ac:dyDescent="0.3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</row>
    <row r="313" spans="1:13" ht="15.5" x14ac:dyDescent="0.3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</row>
    <row r="314" spans="1:13" ht="15.5" x14ac:dyDescent="0.3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</row>
    <row r="315" spans="1:13" ht="15.5" x14ac:dyDescent="0.3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</row>
    <row r="316" spans="1:13" ht="15.5" x14ac:dyDescent="0.3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</row>
    <row r="317" spans="1:13" ht="15.5" x14ac:dyDescent="0.3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</row>
    <row r="318" spans="1:13" ht="15.5" x14ac:dyDescent="0.3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</row>
    <row r="319" spans="1:13" ht="15.5" x14ac:dyDescent="0.3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</row>
    <row r="320" spans="1:13" ht="15.5" x14ac:dyDescent="0.3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</row>
    <row r="321" spans="1:13" ht="15.5" x14ac:dyDescent="0.3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</row>
    <row r="322" spans="1:13" ht="15.5" x14ac:dyDescent="0.3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</row>
    <row r="323" spans="1:13" ht="15.5" x14ac:dyDescent="0.3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</row>
    <row r="324" spans="1:13" ht="15.5" x14ac:dyDescent="0.3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</row>
    <row r="325" spans="1:13" ht="15.5" x14ac:dyDescent="0.3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</row>
    <row r="326" spans="1:13" ht="15.5" x14ac:dyDescent="0.3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</row>
    <row r="327" spans="1:13" ht="15.5" x14ac:dyDescent="0.3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</row>
    <row r="328" spans="1:13" ht="15.5" x14ac:dyDescent="0.3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</row>
    <row r="329" spans="1:13" ht="15.5" x14ac:dyDescent="0.3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</row>
    <row r="330" spans="1:13" ht="15.5" x14ac:dyDescent="0.3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</row>
    <row r="331" spans="1:13" ht="15.5" x14ac:dyDescent="0.3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</row>
    <row r="332" spans="1:13" ht="15.5" x14ac:dyDescent="0.3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</row>
    <row r="333" spans="1:13" ht="15.5" x14ac:dyDescent="0.3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</row>
    <row r="334" spans="1:13" ht="15.5" x14ac:dyDescent="0.3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</row>
    <row r="335" spans="1:13" ht="15.5" x14ac:dyDescent="0.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</row>
    <row r="336" spans="1:13" ht="15.5" x14ac:dyDescent="0.3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</row>
    <row r="337" spans="1:13" ht="15.5" x14ac:dyDescent="0.3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</row>
    <row r="338" spans="1:13" ht="15.5" x14ac:dyDescent="0.3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</row>
    <row r="339" spans="1:13" ht="15.5" x14ac:dyDescent="0.3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</row>
    <row r="340" spans="1:13" ht="15.5" x14ac:dyDescent="0.3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</row>
    <row r="341" spans="1:13" ht="15.5" x14ac:dyDescent="0.3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</row>
    <row r="342" spans="1:13" ht="15.5" x14ac:dyDescent="0.3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</row>
    <row r="343" spans="1:13" ht="15.5" x14ac:dyDescent="0.3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</row>
    <row r="344" spans="1:13" ht="15.5" x14ac:dyDescent="0.3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</row>
    <row r="345" spans="1:13" ht="15.5" x14ac:dyDescent="0.3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</row>
    <row r="346" spans="1:13" ht="15.5" x14ac:dyDescent="0.3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</row>
    <row r="347" spans="1:13" ht="15.5" x14ac:dyDescent="0.3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</row>
    <row r="348" spans="1:13" ht="15.5" x14ac:dyDescent="0.3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</row>
    <row r="349" spans="1:13" ht="15.5" x14ac:dyDescent="0.3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</row>
    <row r="350" spans="1:13" ht="15.5" x14ac:dyDescent="0.3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</row>
    <row r="351" spans="1:13" ht="15.5" x14ac:dyDescent="0.3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</row>
    <row r="352" spans="1:13" ht="15.5" x14ac:dyDescent="0.3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</row>
    <row r="353" spans="1:13" ht="15.5" x14ac:dyDescent="0.3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</row>
    <row r="354" spans="1:13" ht="15.5" x14ac:dyDescent="0.3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</row>
    <row r="355" spans="1:13" ht="15.5" x14ac:dyDescent="0.3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</row>
    <row r="356" spans="1:13" ht="15.5" x14ac:dyDescent="0.3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</row>
    <row r="357" spans="1:13" ht="15.5" x14ac:dyDescent="0.3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</row>
    <row r="358" spans="1:13" ht="15.5" x14ac:dyDescent="0.3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</row>
    <row r="359" spans="1:13" ht="15.5" x14ac:dyDescent="0.3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</row>
    <row r="360" spans="1:13" ht="15.5" x14ac:dyDescent="0.3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</row>
    <row r="361" spans="1:13" ht="15.5" x14ac:dyDescent="0.3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</row>
    <row r="362" spans="1:13" ht="15.5" x14ac:dyDescent="0.3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</row>
    <row r="363" spans="1:13" ht="15.5" x14ac:dyDescent="0.3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</row>
    <row r="364" spans="1:13" ht="15.5" x14ac:dyDescent="0.3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</row>
    <row r="365" spans="1:13" ht="15.5" x14ac:dyDescent="0.3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</row>
    <row r="366" spans="1:13" ht="15.5" x14ac:dyDescent="0.3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</row>
    <row r="367" spans="1:13" ht="15.5" x14ac:dyDescent="0.3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</row>
  </sheetData>
  <mergeCells count="42">
    <mergeCell ref="A49:D49"/>
    <mergeCell ref="G35:H35"/>
    <mergeCell ref="E32:F32"/>
    <mergeCell ref="E33:F33"/>
    <mergeCell ref="E34:F34"/>
    <mergeCell ref="E35:F35"/>
    <mergeCell ref="A38:M38"/>
    <mergeCell ref="K8:M8"/>
    <mergeCell ref="A10:M10"/>
    <mergeCell ref="A23:M23"/>
    <mergeCell ref="A30:M30"/>
    <mergeCell ref="E31:H31"/>
    <mergeCell ref="E36:H36"/>
    <mergeCell ref="G32:H32"/>
    <mergeCell ref="G33:H33"/>
    <mergeCell ref="G34:H34"/>
    <mergeCell ref="I6:J6"/>
    <mergeCell ref="I7:J7"/>
    <mergeCell ref="I8:J8"/>
    <mergeCell ref="K6:M6"/>
    <mergeCell ref="K5:M5"/>
    <mergeCell ref="K7:M7"/>
    <mergeCell ref="E6:F6"/>
    <mergeCell ref="E7:F7"/>
    <mergeCell ref="E8:F8"/>
    <mergeCell ref="G5:H5"/>
    <mergeCell ref="G6:H6"/>
    <mergeCell ref="G7:H7"/>
    <mergeCell ref="G8:H8"/>
    <mergeCell ref="A6:B6"/>
    <mergeCell ref="A8:B8"/>
    <mergeCell ref="A7:B7"/>
    <mergeCell ref="C5:D5"/>
    <mergeCell ref="C6:D6"/>
    <mergeCell ref="C7:D7"/>
    <mergeCell ref="C8:D8"/>
    <mergeCell ref="A1:M1"/>
    <mergeCell ref="A2:M2"/>
    <mergeCell ref="A3:M3"/>
    <mergeCell ref="A5:B5"/>
    <mergeCell ref="E5:F5"/>
    <mergeCell ref="I5:J5"/>
  </mergeCells>
  <conditionalFormatting sqref="C8:D8">
    <cfRule type="cellIs" dxfId="6" priority="9" stopIfTrue="1" operator="equal">
      <formula>"⚠ Unbalanced"</formula>
    </cfRule>
    <cfRule type="cellIs" dxfId="5" priority="10" stopIfTrue="1" operator="equal">
      <formula>"✓ Balanced"</formula>
    </cfRule>
  </conditionalFormatting>
  <conditionalFormatting sqref="D24">
    <cfRule type="cellIs" dxfId="4" priority="6" operator="lessThan">
      <formula>350</formula>
    </cfRule>
    <cfRule type="cellIs" dxfId="3" priority="7" operator="greaterThan">
      <formula>350</formula>
    </cfRule>
  </conditionalFormatting>
  <conditionalFormatting sqref="E40:E46">
    <cfRule type="cellIs" dxfId="2" priority="1" operator="lessThan">
      <formula>0.3</formula>
    </cfRule>
    <cfRule type="cellIs" dxfId="1" priority="2" operator="between">
      <formula>0.3</formula>
      <formula>0.7</formula>
    </cfRule>
    <cfRule type="cellIs" dxfId="0" priority="3" operator="greaterThan">
      <formula>0.7</formula>
    </cfRule>
    <cfRule type="colorScale" priority="4">
      <colorScale>
        <cfvo type="min"/>
        <cfvo type="num" val="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landscape" r:id="rId1"/>
  <ignoredErrors>
    <ignoredError sqref="C6 C8" formula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7EDB0F-1CBE-47E6-B732-21C1A14DDE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Plant_Database</vt:lpstr>
      <vt:lpstr>Market_Scenarios</vt:lpstr>
      <vt:lpstr>Input_Parameters</vt:lpstr>
      <vt:lpstr>Data_Entry</vt:lpstr>
      <vt:lpstr>Merit_Order</vt:lpstr>
      <vt:lpstr>Results_Dashboard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Okumo, Felix</dc:creator>
  <cp:lastModifiedBy>Okumo, Felix</cp:lastModifiedBy>
  <dcterms:created xsi:type="dcterms:W3CDTF">2026-01-06T18:47:45Z</dcterms:created>
  <dcterms:modified xsi:type="dcterms:W3CDTF">2026-01-11T01:05:30Z</dcterms:modified>
</cp:coreProperties>
</file>